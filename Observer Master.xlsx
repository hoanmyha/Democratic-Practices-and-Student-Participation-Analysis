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b2196e18b757d8ac/Desktop/Augustana/Research with Dr. Mariano and Nepa/"/>
    </mc:Choice>
  </mc:AlternateContent>
  <xr:revisionPtr revIDLastSave="150" documentId="11_0EE7C41A1E43C9064F41C54572588DC8E1C3C3B0" xr6:coauthVersionLast="47" xr6:coauthVersionMax="47" xr10:uidLastSave="{2301D837-FC88-44A8-A053-5C6AA9900770}"/>
  <bookViews>
    <workbookView xWindow="-108" yWindow="-108" windowWidth="23256" windowHeight="12456" activeTab="2" xr2:uid="{00000000-000D-0000-FFFF-FFFF00000000}"/>
  </bookViews>
  <sheets>
    <sheet name="Sheet1" sheetId="1" r:id="rId1"/>
    <sheet name="Sheet2" sheetId="2" r:id="rId2"/>
    <sheet name="Sheet3" sheetId="5" r:id="rId3"/>
  </sheets>
  <definedNames>
    <definedName name="ExternalData_1" localSheetId="2" hidden="1">Sheet3!$A$1:$X$133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2" l="1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G2" i="2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69F099-0DD8-4EBF-80DA-625EC3EC3783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2" xr16:uid="{D836AD1C-1545-4654-A5E6-36B987CF76D8}" keepAlive="1" name="Query - Table3 (2)" description="Connection to the 'Table3 (2)' query in the workbook." type="5" refreshedVersion="8" background="1" saveData="1">
    <dbPr connection="Provider=Microsoft.Mashup.OleDb.1;Data Source=$Workbook$;Location=&quot;Table3 (2)&quot;;Extended Properties=&quot;&quot;" command="SELECT * FROM [Table3 (2)]"/>
  </connection>
  <connection id="3" xr16:uid="{AF0AA18E-E6B9-42DC-9358-9199B96913BD}" keepAlive="1" name="Query - Table3 (3)" description="Connection to the 'Table3 (3)' query in the workbook." type="5" refreshedVersion="0" background="1" saveData="1">
    <dbPr connection="Provider=Microsoft.Mashup.OleDb.1;Data Source=$Workbook$;Location=&quot;Table3 (3)&quot;;Extended Properties=&quot;&quot;" command="SELECT * FROM [Table3 (3)]"/>
  </connection>
  <connection id="4" xr16:uid="{FEF9B544-60D4-4158-8391-938332BB352A}" keepAlive="1" name="Query - Table3_1" description="Connection to the 'Table3_1' query in the workbook." type="5" refreshedVersion="8" background="1" saveData="1">
    <dbPr connection="Provider=Microsoft.Mashup.OleDb.1;Data Source=$Workbook$;Location=Table3_1;Extended Properties=&quot;&quot;" command="SELECT * FROM [Table3_1]"/>
  </connection>
</connections>
</file>

<file path=xl/sharedStrings.xml><?xml version="1.0" encoding="utf-8"?>
<sst xmlns="http://schemas.openxmlformats.org/spreadsheetml/2006/main" count="4014" uniqueCount="228">
  <si>
    <t>President</t>
  </si>
  <si>
    <t>Event</t>
  </si>
  <si>
    <t>Period</t>
  </si>
  <si>
    <t>Topic Area</t>
  </si>
  <si>
    <t>Mentioned Actors</t>
  </si>
  <si>
    <t>Granted</t>
  </si>
  <si>
    <t>Gained</t>
  </si>
  <si>
    <t>Progress</t>
  </si>
  <si>
    <t>Ber</t>
  </si>
  <si>
    <t xml:space="preserve">Administration Bans Greek Week
</t>
  </si>
  <si>
    <t>1956 - 1959</t>
  </si>
  <si>
    <t>Campus Life</t>
  </si>
  <si>
    <t>Administrators, Student organizations or groups</t>
  </si>
  <si>
    <t>RA Proposals Partially Approved</t>
  </si>
  <si>
    <t>Academic policies, Campus Life</t>
  </si>
  <si>
    <t>Student government leaders or members , Individual students , Administrators</t>
  </si>
  <si>
    <t>Students to Decide WAUG’s Future</t>
  </si>
  <si>
    <t>Student organizations or groups, Individual students</t>
  </si>
  <si>
    <t>SFARC Supports Students’ idea</t>
  </si>
  <si>
    <t>Academic policies</t>
  </si>
  <si>
    <t>Faculty, Student organizations or groups</t>
  </si>
  <si>
    <t>RA Pushes for Student Input in Evaluations and Discipline</t>
  </si>
  <si>
    <t>Academic policies, "Diversity, Equity &amp; Inclusion"</t>
  </si>
  <si>
    <t>Student government leaders or members , Administrators</t>
  </si>
  <si>
    <t xml:space="preserve">Bi-monthly dinner meetings with administrations and faculty leaders
</t>
  </si>
  <si>
    <t>Academic policies, Campus Life, Student Government</t>
  </si>
  <si>
    <t xml:space="preserve">RA Fills Committee Roles, Meets with PR Head
</t>
  </si>
  <si>
    <t>Financial/Administrative Decisions</t>
  </si>
  <si>
    <t>Student government leaders or members , Student organizations or groups</t>
  </si>
  <si>
    <t>New student seat on the Educational Policies Committee: The administration is starting to take student input seriously.</t>
  </si>
  <si>
    <t>Student Union: Student Union Workers get a Students' Union building</t>
  </si>
  <si>
    <t>1945-1948</t>
  </si>
  <si>
    <t>Student Government</t>
  </si>
  <si>
    <t>Individual students , Student government leaders or members , Administrators</t>
  </si>
  <si>
    <t xml:space="preserve">Student Government Elections </t>
  </si>
  <si>
    <t>Student government leaders or members</t>
  </si>
  <si>
    <t xml:space="preserve">Racial Club </t>
  </si>
  <si>
    <t>Activism/Social Movements , "Diversity, Equity &amp; Inclusion", Campus Life</t>
  </si>
  <si>
    <t xml:space="preserve">Advocacy for the rights of black students </t>
  </si>
  <si>
    <t>Activism/Social Movements</t>
  </si>
  <si>
    <t>Student organizations or groups</t>
  </si>
  <si>
    <t>Sor</t>
  </si>
  <si>
    <t>Student-led Freshman Orientation Program</t>
  </si>
  <si>
    <t>1968-1971</t>
  </si>
  <si>
    <t>Individual students</t>
  </si>
  <si>
    <t>Student Against Convocation Requirement</t>
  </si>
  <si>
    <t>RA-led new open student forum, "Soap-box” &amp; RA Communique</t>
  </si>
  <si>
    <t>Student Government, Financial/Administrative Decisions</t>
  </si>
  <si>
    <t>Student Patrick Bell proposed political engagement both financially and institutionally.</t>
  </si>
  <si>
    <t>Academic policies, Financial/Administrative Decisions</t>
  </si>
  <si>
    <t>Individual students , Student government leaders or members , Student organizations or groups</t>
  </si>
  <si>
    <t>Student proposed a LIBERALIZED open house policy</t>
  </si>
  <si>
    <t>Individual students , Student organizations or groups</t>
  </si>
  <si>
    <t xml:space="preserve">Black Students’ Rights
</t>
  </si>
  <si>
    <t>"Diversity, Equity &amp; Inclusion", Activism/Social Movements</t>
  </si>
  <si>
    <t>Student-initiated effort to reform outdated policies</t>
  </si>
  <si>
    <t>Student government leaders or members , Individual students , Student organizations or groups</t>
  </si>
  <si>
    <t>Augustana College decided to switch to a quarter system without students’ input</t>
  </si>
  <si>
    <t>Administrators, Individual students</t>
  </si>
  <si>
    <t>The Representative Assembly (RA) President was allowed to attend general faculty meetings as a non-voting member.</t>
  </si>
  <si>
    <t>Students’ proposal of residential program</t>
  </si>
  <si>
    <t>President Sorensen talked about students' freedom in organizing symposium day</t>
  </si>
  <si>
    <t>Campus Life, Academic policies</t>
  </si>
  <si>
    <t>Senior students voted for the Senior Recognition Day Speaker award</t>
  </si>
  <si>
    <t>Faculty/Staff Relations</t>
  </si>
  <si>
    <t>The Representative Assembly has full control of the student activity money</t>
  </si>
  <si>
    <t xml:space="preserve">RA and student groups helped the administration to recruit faculty
</t>
  </si>
  <si>
    <t xml:space="preserve">Racism and social movement on campus against racism </t>
  </si>
  <si>
    <t>Student government leaders or members , Student organizations or groups , Administrators</t>
  </si>
  <si>
    <t xml:space="preserve">Student government and student-faculty or student-administrator committees 
</t>
  </si>
  <si>
    <t>Student Government, Faculty/Staff Relations</t>
  </si>
  <si>
    <t>Student organizations or groups , Administrators</t>
  </si>
  <si>
    <t>Students were given a chance to engage in decision-making</t>
  </si>
  <si>
    <t>Representative Assembly (RA) Goals</t>
  </si>
  <si>
    <t xml:space="preserve">The Student Bill of Rights and Responsibilities.
</t>
  </si>
  <si>
    <t>Student government leaders or members , Individual students , Student organizations or groups , Administrators</t>
  </si>
  <si>
    <t>Students’ opinions about student rights in general at Augie</t>
  </si>
  <si>
    <t>Individual students , Administrators</t>
  </si>
  <si>
    <t xml:space="preserve">New Changes in Women's Hour </t>
  </si>
  <si>
    <t xml:space="preserve">Educational Policies Committee Support for Black Students (I assume, in response to the earlier demand for Back students’ rights last year) 
</t>
  </si>
  <si>
    <t>About new open door policy: Augustana proposed allowing men and women to visit each other in dorm rooms during set hours</t>
  </si>
  <si>
    <t xml:space="preserve">Bill Sampson demands students’ real voice in governing their college
</t>
  </si>
  <si>
    <t xml:space="preserve">The students’ movement - “War on Apathy”
</t>
  </si>
  <si>
    <t>Academic policies, Campus Life, Activism/Social Movements</t>
  </si>
  <si>
    <t xml:space="preserve">Dean Limits Fraternity Housing
</t>
  </si>
  <si>
    <t xml:space="preserve">Student Action Coalition (SAC) Goals
</t>
  </si>
  <si>
    <t>Academic policies, Campus Life, Activism/Social Movements , Faculty/Staff Relations</t>
  </si>
  <si>
    <t>Students’ disagreement on (RA) joining the National Student Association (NSA)</t>
  </si>
  <si>
    <t>Student government leaders or members , Individual students</t>
  </si>
  <si>
    <t xml:space="preserve">Students want the Observer to be democratic
</t>
  </si>
  <si>
    <t>A Critique of the Traditional A-F Grading System</t>
  </si>
  <si>
    <t>Individual students , Administrators, Faculty</t>
  </si>
  <si>
    <t xml:space="preserve">Student’s frustration with The Central States College Association (CSCA)
</t>
  </si>
  <si>
    <t>Administrators</t>
  </si>
  <si>
    <t xml:space="preserve">RA Reforms
</t>
  </si>
  <si>
    <t>Student Recommends Ways For East Hall Improvement</t>
  </si>
  <si>
    <t>Facilities/Infrastructure</t>
  </si>
  <si>
    <t>Students and faculty decide Senior Award Nominations</t>
  </si>
  <si>
    <t>Student government leaders or members , Individual students , Faculty</t>
  </si>
  <si>
    <t>RA’s presidents want more student members on the Educational Policies Committee (EPC).</t>
  </si>
  <si>
    <t>Problems in women’s dorms</t>
  </si>
  <si>
    <t xml:space="preserve">The Representative Assembly (RA)’s key project - teacher/course evaluation program
</t>
  </si>
  <si>
    <t>Individual students , Faculty</t>
  </si>
  <si>
    <t>A Critique of the Bookstore</t>
  </si>
  <si>
    <t>Administrators, Faculty</t>
  </si>
  <si>
    <t xml:space="preserve">Students Organize Environmental Group
</t>
  </si>
  <si>
    <t>Students’ involvement in Faculty Committee</t>
  </si>
  <si>
    <t>Student government leaders or members , Faculty</t>
  </si>
  <si>
    <t>RA proposed the A, B, C, no-credit system</t>
  </si>
  <si>
    <t xml:space="preserve">RA propose 4-1-4 calendar
</t>
  </si>
  <si>
    <t xml:space="preserve">Student Union Constitues New Field Services </t>
  </si>
  <si>
    <t>1963-1966</t>
  </si>
  <si>
    <t xml:space="preserve">CBU Plans for Future </t>
  </si>
  <si>
    <t>Student Government, Campus Life</t>
  </si>
  <si>
    <t xml:space="preserve">President Sorenses Speaks to Students </t>
  </si>
  <si>
    <t xml:space="preserve">Class Officers Eelected </t>
  </si>
  <si>
    <t>Campus Life, Student Government</t>
  </si>
  <si>
    <t xml:space="preserve">Stu-U votes to establish Student Judiciary Group </t>
  </si>
  <si>
    <t xml:space="preserve">RA Proposes Student Judiciary System </t>
  </si>
  <si>
    <t xml:space="preserve">Elect Student Government Leaders </t>
  </si>
  <si>
    <t xml:space="preserve">Food Servuces Committee </t>
  </si>
  <si>
    <t xml:space="preserve">Classes Elect New Officers </t>
  </si>
  <si>
    <t xml:space="preserve">RA Picks FF </t>
  </si>
  <si>
    <t xml:space="preserve">Food Services Committee </t>
  </si>
  <si>
    <t xml:space="preserve">Student Group asks for improvement </t>
  </si>
  <si>
    <t xml:space="preserve">Sorenson will meet students </t>
  </si>
  <si>
    <t>Campus Life, Financial/Administrative Decisions, Academic policies, "Diversity, Equity &amp; Inclusion", Facilities/Infrastructure</t>
  </si>
  <si>
    <t xml:space="preserve">Food Services Committee List Business </t>
  </si>
  <si>
    <t xml:space="preserve">Classes Rate Courses </t>
  </si>
  <si>
    <t>Administrators, Student government leaders or members</t>
  </si>
  <si>
    <t xml:space="preserve">Sorenson hears students </t>
  </si>
  <si>
    <t>Academic policies, Campus Life, Student Government, Financial/Administrative Decisions, Facilities/Infrastructure</t>
  </si>
  <si>
    <t xml:space="preserve">SFARC Disscuss Issues </t>
  </si>
  <si>
    <t xml:space="preserve">Judiciary Committee Hears Disciplinary Cases </t>
  </si>
  <si>
    <t>RA Chosen for 1965-66</t>
  </si>
  <si>
    <t xml:space="preserve">SFARC Discuss Vacations </t>
  </si>
  <si>
    <t>Campus Life, Financial/Administrative Decisions, Academic policies</t>
  </si>
  <si>
    <t xml:space="preserve">Committees chosen by RA </t>
  </si>
  <si>
    <t xml:space="preserve">Decison made by Judiciray </t>
  </si>
  <si>
    <t>Sorenson Hold Second Meeting</t>
  </si>
  <si>
    <t>Academic policies, Campus Life, Financial/Administrative Decisions</t>
  </si>
  <si>
    <t xml:space="preserve">Neglect </t>
  </si>
  <si>
    <t xml:space="preserve">Student Job Policy is Studied </t>
  </si>
  <si>
    <t xml:space="preserve">Judiciiary Explains Procedure </t>
  </si>
  <si>
    <t xml:space="preserve">Union Neglected Again </t>
  </si>
  <si>
    <t xml:space="preserve">RA Proposes New Amendments to Stu-U Const. </t>
  </si>
  <si>
    <t xml:space="preserve">RA Committee Chairman Report Progress </t>
  </si>
  <si>
    <t>Academic policies, Campus Life, Financial/Administrative Decisions, Facilities/Infrastructure</t>
  </si>
  <si>
    <t xml:space="preserve">Improvement in Chapel Attitudes </t>
  </si>
  <si>
    <t>Tre</t>
  </si>
  <si>
    <t xml:space="preserve">Students call for the right to vote the Augustana CUBOM committee members
</t>
  </si>
  <si>
    <t>1977-1980</t>
  </si>
  <si>
    <t>Slow Response to Heating Problems in College Dorms</t>
  </si>
  <si>
    <t>Policy questioned</t>
  </si>
  <si>
    <t>"Diversity, Equity &amp; Inclusion", Campus Life</t>
  </si>
  <si>
    <t>College Union Board Challenges President on New College Center Positions</t>
  </si>
  <si>
    <t>Students can not vote for the semester system they want</t>
  </si>
  <si>
    <t>Problems with the administration’s control</t>
  </si>
  <si>
    <t>"Diversity, Equity &amp; Inclusion"</t>
  </si>
  <si>
    <t>Students are upset about the new meal plan</t>
  </si>
  <si>
    <t>Male-Targeted Recruitment and Registration Scandal</t>
  </si>
  <si>
    <t>1997-2000</t>
  </si>
  <si>
    <t>Concern about multiculturalism at Augustana</t>
  </si>
  <si>
    <t xml:space="preserve">Residence Life Issues
</t>
  </si>
  <si>
    <t xml:space="preserve">Students’ Input Matters: New Course Evaluations at Augustana &amp; Weekday Visitation Hour
</t>
  </si>
  <si>
    <t>Sudden schedule change without students’ input</t>
  </si>
  <si>
    <t xml:space="preserve">SGA worked to involve students in decision-making through committees
</t>
  </si>
  <si>
    <t xml:space="preserve">Students propose raising the student fee to solve funding limitations
</t>
  </si>
  <si>
    <t xml:space="preserve">Spanish club promotes Day of the Dead celebration
</t>
  </si>
  <si>
    <t>Students disagreed on the fees to use Wallenberg Hall</t>
  </si>
  <si>
    <t>Student Criticism of PIC Housing Selection</t>
  </si>
  <si>
    <t xml:space="preserve">Student’s commentary on the lack of cultural diversity at Augustana
</t>
  </si>
  <si>
    <t xml:space="preserve">ODK and Mortar Board </t>
  </si>
  <si>
    <t>1985-1988</t>
  </si>
  <si>
    <t>Financial/Administrative Decisions, "Diversity, Equity &amp; Inclusion", Academic policies</t>
  </si>
  <si>
    <t>Student organizations or groups , Administrators, Faculty</t>
  </si>
  <si>
    <t xml:space="preserve">Tasl Force </t>
  </si>
  <si>
    <t xml:space="preserve">Consolidating ODK and Mortar Board </t>
  </si>
  <si>
    <t xml:space="preserve">RA Candidates Vie for Top Seats </t>
  </si>
  <si>
    <t>Schroeder and Task Force Study Groups</t>
  </si>
  <si>
    <t>Individual students, Administrators, Faculty</t>
  </si>
  <si>
    <t xml:space="preserve">Elections Held </t>
  </si>
  <si>
    <t xml:space="preserve">Admissions forms Augustana Ambassadors </t>
  </si>
  <si>
    <t xml:space="preserve">Student Judiciary System Explained </t>
  </si>
  <si>
    <t>Bah</t>
  </si>
  <si>
    <t>Students Call for Voice in Campus Decisions</t>
  </si>
  <si>
    <t>2006-2009</t>
  </si>
  <si>
    <t xml:space="preserve">ACT decision should involve students’ input
</t>
  </si>
  <si>
    <t xml:space="preserve">Students sign petition for greener TLAs
</t>
  </si>
  <si>
    <t>No students’ voice in the Student Center</t>
  </si>
  <si>
    <t>Student government leaders or members , Student organizations or groups , Administrators, Faculty</t>
  </si>
  <si>
    <t xml:space="preserve">Students want Transparency in Fundraising Success
</t>
  </si>
  <si>
    <t xml:space="preserve">MLK Holiday Protest </t>
  </si>
  <si>
    <t>2016-2019</t>
  </si>
  <si>
    <t xml:space="preserve">Bahl Cultural Diversity </t>
  </si>
  <si>
    <t>SGA Presidential Elections</t>
  </si>
  <si>
    <t>Individual students , Student government leaders or members</t>
  </si>
  <si>
    <t>Campus Addresses Diversity</t>
  </si>
  <si>
    <t>Activism/Social Movements , "Diversity, Equity &amp; Inclusion"</t>
  </si>
  <si>
    <t>Bentley and Funke Win SGA Elections</t>
  </si>
  <si>
    <t>Student government leaders or members, Administrators</t>
  </si>
  <si>
    <t xml:space="preserve">College thinking of Changes </t>
  </si>
  <si>
    <t>Bahls Discusses Diversity Improvement</t>
  </si>
  <si>
    <t>Individual students, Administrators</t>
  </si>
  <si>
    <t>Sustained Dialogue Groups</t>
  </si>
  <si>
    <t>Financial/Administrative Decisions, Academic policies</t>
  </si>
  <si>
    <t>Title IX Unrest</t>
  </si>
  <si>
    <t xml:space="preserve">Peaceful Protest OMSL </t>
  </si>
  <si>
    <t xml:space="preserve">Christianity and LGBTQ addressed by Students </t>
  </si>
  <si>
    <t>OSID Model UN</t>
  </si>
  <si>
    <t xml:space="preserve">SGA Senator Elections </t>
  </si>
  <si>
    <t>OSID Promotes Diverse Relations with BBall</t>
  </si>
  <si>
    <t>Individual students , Faculty, Administrators</t>
  </si>
  <si>
    <t xml:space="preserve">Campus Community Demands Sustainability </t>
  </si>
  <si>
    <t>Faculty, Individual students</t>
  </si>
  <si>
    <t xml:space="preserve">Students discuss reproductive rights </t>
  </si>
  <si>
    <t>Individual students, Student organizations or groups</t>
  </si>
  <si>
    <t xml:space="preserve">SGA Special Elections </t>
  </si>
  <si>
    <t>Faculty</t>
  </si>
  <si>
    <t>Diversity, Equity &amp; Inclusion</t>
  </si>
  <si>
    <t>Academic Policies</t>
  </si>
  <si>
    <t>Alumni</t>
  </si>
  <si>
    <t>F</t>
  </si>
  <si>
    <t>T</t>
  </si>
  <si>
    <t>Period2</t>
  </si>
  <si>
    <t>1956-1959</t>
  </si>
  <si>
    <t>Start Year</t>
  </si>
  <si>
    <t>End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</si>
</sst>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Roboto"/>
    </font>
    <font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right" wrapText="1"/>
    </xf>
    <xf numFmtId="0" fontId="3" fillId="3" borderId="0" xfId="0" applyFont="1" applyFill="1"/>
    <xf numFmtId="0" fontId="4" fillId="0" borderId="0" xfId="0" applyFont="1"/>
    <xf numFmtId="0" fontId="0" fillId="0" borderId="0" xfId="0" applyAlignment="1"/>
    <xf numFmtId="0" fontId="4" fillId="0" borderId="0" xfId="0" applyFont="1" applyAlignment="1"/>
    <xf numFmtId="0" fontId="0" fillId="0" borderId="0" xfId="0" applyNumberFormat="1"/>
  </cellXfs>
  <cellStyles count="1">
    <cellStyle name="Normal" xfId="0" builtinId="0"/>
  </cellStyles>
  <dxfs count="3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Sheet1-style" pivot="0" count="2" xr9:uid="{00000000-0011-0000-FFFF-FFFF00000000}">
      <tableStyleElement type="firstRowStripe" dxfId="35"/>
      <tableStyleElement type="secondRowStripe" dxfId="3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4C0FD512-6E88-476A-B52A-C56CB86E1671}" autoFormatId="16" applyNumberFormats="0" applyBorderFormats="0" applyFontFormats="0" applyPatternFormats="0" applyAlignmentFormats="0" applyWidthHeightFormats="0">
  <queryTableRefresh nextId="27">
    <queryTableFields count="24">
      <queryTableField id="1" name="President" tableColumnId="1"/>
      <queryTableField id="2" name="Event" tableColumnId="2"/>
      <queryTableField id="3" name="Period" tableColumnId="3"/>
      <queryTableField id="23" name="Start Year" tableColumnId="23"/>
      <queryTableField id="24" name="End Year" tableColumnId="24"/>
      <queryTableField id="4" name="Topic Area" tableColumnId="4"/>
      <queryTableField id="5" name="Academic Policies" tableColumnId="5"/>
      <queryTableField id="6" name="Campus Life" tableColumnId="6"/>
      <queryTableField id="7" name="Student Government" tableColumnId="7"/>
      <queryTableField id="8" name="Financial/Administrative Decisions" tableColumnId="8"/>
      <queryTableField id="9" name="Diversity, Equity &amp; Inclusion" tableColumnId="9"/>
      <queryTableField id="10" name="Activism/Social Movements" tableColumnId="10"/>
      <queryTableField id="11" name="Facilities/Infrastructure" tableColumnId="11"/>
      <queryTableField id="12" name="Faculty/Staff Relations" tableColumnId="12"/>
      <queryTableField id="13" name="Mentioned Actors" tableColumnId="13"/>
      <queryTableField id="14" name="Student government leaders or members" tableColumnId="14"/>
      <queryTableField id="15" name="Individual students" tableColumnId="15"/>
      <queryTableField id="16" name="Student organizations or groups" tableColumnId="16"/>
      <queryTableField id="17" name="Alumni" tableColumnId="17"/>
      <queryTableField id="18" name="Administrators" tableColumnId="18"/>
      <queryTableField id="19" name="Faculty" tableColumnId="19"/>
      <queryTableField id="20" name="Granted" tableColumnId="20"/>
      <queryTableField id="21" name="Gained" tableColumnId="21"/>
      <queryTableField id="22" name="Progress" tableColumnId="22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B2:H133" headerRowCount="0">
  <tableColumns count="7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7943B7D-3379-4187-BC8A-5DBC929F18C2}" name="Table3" displayName="Table3" ref="A1:W133" totalsRowShown="0">
  <autoFilter ref="A1:W133" xr:uid="{B7943B7D-3379-4187-BC8A-5DBC929F18C2}"/>
  <tableColumns count="23">
    <tableColumn id="1" xr3:uid="{AC6CD825-C69A-4AAD-B591-27998CEF82E8}" name="President"/>
    <tableColumn id="2" xr3:uid="{920AA092-7DA0-41F4-BF79-7C3BB4BF94F1}" name="Event"/>
    <tableColumn id="23" xr3:uid="{6C066DE1-6007-4756-9185-386625A551ED}" name="Period"/>
    <tableColumn id="3" xr3:uid="{82316120-DE41-4711-A6DF-C3B162A273D2}" name="Period2"/>
    <tableColumn id="4" xr3:uid="{D8C7D768-4482-4127-A7AB-EC2B13797594}" name="Topic Area"/>
    <tableColumn id="13" xr3:uid="{34A5DDB8-103C-4103-AC99-9EB273942B03}" name="Academic Policies" dataDxfId="32">
      <calculatedColumnFormula>IF(ISNUMBER(SEARCH("Academic Policies", $E2)), "T", "F")</calculatedColumnFormula>
    </tableColumn>
    <tableColumn id="14" xr3:uid="{E756FC02-77CF-4DB2-BC1C-A05800390BF9}" name="Campus Life" dataDxfId="33">
      <calculatedColumnFormula>IF(ISNUMBER(SEARCH("Campus Life", $E2)), "T", "F")</calculatedColumnFormula>
    </tableColumn>
    <tableColumn id="15" xr3:uid="{CA624CD1-DF64-4A83-8822-80C5D4936471}" name="Student Government" dataDxfId="31">
      <calculatedColumnFormula>IF(ISNUMBER(SEARCH("Student Government", $E2)), "T", "F")</calculatedColumnFormula>
    </tableColumn>
    <tableColumn id="16" xr3:uid="{F51E6A1B-419E-41C5-8436-A94147E0B2EB}" name="Financial/Administrative Decisions" dataDxfId="30">
      <calculatedColumnFormula>IF(ISNUMBER(SEARCH("Financial/Administrative Decisions", $E2)), "T", "F")</calculatedColumnFormula>
    </tableColumn>
    <tableColumn id="11" xr3:uid="{0AE4C150-34DD-4A93-AEF1-A204E17D37BD}" name="Diversity, Equity &amp; Inclusion" dataDxfId="29">
      <calculatedColumnFormula>IF(ISNUMBER(SEARCH("Diversity, Equity &amp; Inclusion", $E2)), "T", "F")</calculatedColumnFormula>
    </tableColumn>
    <tableColumn id="12" xr3:uid="{579EFC72-07E7-4792-A607-AB33C115234C}" name="Activism/Social Movements" dataDxfId="28">
      <calculatedColumnFormula>IF(ISNUMBER(SEARCH("Activism/Social Movements", $E2)), "T", "F")</calculatedColumnFormula>
    </tableColumn>
    <tableColumn id="10" xr3:uid="{A897CB1F-E8CB-49FA-B0F5-49EC1E9A5B94}" name="Facilities/Infrastructure" dataDxfId="27">
      <calculatedColumnFormula>IF(ISNUMBER(SEARCH("Facilities/Infrastructure", $E2)), "T", "F")</calculatedColumnFormula>
    </tableColumn>
    <tableColumn id="9" xr3:uid="{08DBB586-1627-48D1-BF93-A2E2F451C3A7}" name="Faculty/Staff Relations" dataDxfId="25">
      <calculatedColumnFormula>IF(ISNUMBER(SEARCH("Faculty/Staff Relations", $E2)), "T", "F")</calculatedColumnFormula>
    </tableColumn>
    <tableColumn id="5" xr3:uid="{B7D48CFA-4C6E-43AB-A2D8-6AC7D658C1B9}" name="Mentioned Actors" dataDxfId="26"/>
    <tableColumn id="21" xr3:uid="{8EDE7410-DAC8-4DA0-90E8-7CFB9B730038}" name="Student government leaders or members" dataDxfId="24">
      <calculatedColumnFormula>IF(ISNUMBER(SEARCH("Student government leaders or members", $N2)), "T", "F")</calculatedColumnFormula>
    </tableColumn>
    <tableColumn id="22" xr3:uid="{B19D97DC-BB39-4D7E-BCB1-CE33373472F7}" name="Individual students" dataDxfId="23">
      <calculatedColumnFormula>IF(ISNUMBER(SEARCH("Individual students", $N2)), "T", "F")</calculatedColumnFormula>
    </tableColumn>
    <tableColumn id="19" xr3:uid="{596BA227-46CC-4A02-93A0-EE7F0F03B488}" name="Student organizations or groups" dataDxfId="22">
      <calculatedColumnFormula>IF(ISNUMBER(SEARCH("Student organizations or groups", $N2)), "T", "F")</calculatedColumnFormula>
    </tableColumn>
    <tableColumn id="20" xr3:uid="{96817295-E287-4F82-BBD1-33F54D8DFD3D}" name="Alumni" dataDxfId="21">
      <calculatedColumnFormula>IF(ISNUMBER(SEARCH("Alumni", $N2)), "T", "F")</calculatedColumnFormula>
    </tableColumn>
    <tableColumn id="18" xr3:uid="{A87647CC-E915-4799-B361-9D38C4539AFD}" name="Administrators" dataDxfId="20">
      <calculatedColumnFormula>IF(ISNUMBER(SEARCH("Administrators", $N2)), "T", "F")</calculatedColumnFormula>
    </tableColumn>
    <tableColumn id="17" xr3:uid="{8EB1D519-DC92-46B2-8FC1-7536AF1C6DEE}" name="Faculty" dataDxfId="19">
      <calculatedColumnFormula>IF(ISNUMBER(SEARCH("Faculty", $N2)), "T", "F")</calculatedColumnFormula>
    </tableColumn>
    <tableColumn id="6" xr3:uid="{7394F391-901A-4E24-8D46-F54C1A03ACC8}" name="Granted"/>
    <tableColumn id="7" xr3:uid="{304D6CC1-9105-4CC5-AFCD-7C67FBA5610F}" name="Gained"/>
    <tableColumn id="8" xr3:uid="{E783D416-5D17-4052-97D6-CB6CA2533E60}" name="Progres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D3B6D78-3AC5-44B1-BDFD-4F1C6B554199}" name="Table3__2" displayName="Table3__2" ref="A1:X133" tableType="queryTable" totalsRowShown="0">
  <autoFilter ref="A1:X133" xr:uid="{6D3B6D78-3AC5-44B1-BDFD-4F1C6B554199}"/>
  <tableColumns count="24">
    <tableColumn id="1" xr3:uid="{BB1E76E7-E438-47F6-869E-0DA43352914A}" uniqueName="1" name="President" queryTableFieldId="1" dataDxfId="18"/>
    <tableColumn id="2" xr3:uid="{B5D8E103-7D02-4D1C-8662-CF6BB4AADDAE}" uniqueName="2" name="Event" queryTableFieldId="2" dataDxfId="17"/>
    <tableColumn id="3" xr3:uid="{2BF8EF9F-2B9E-44C4-9A01-5F6746AAFFC2}" uniqueName="3" name="Period" queryTableFieldId="3" dataDxfId="16"/>
    <tableColumn id="23" xr3:uid="{92C59C3F-F44F-4805-846B-2E74EC7B0BCC}" uniqueName="23" name="Start Year" queryTableFieldId="23"/>
    <tableColumn id="24" xr3:uid="{3875B276-FA57-44D4-BC4E-FB27CE0A15B8}" uniqueName="24" name="End Year" queryTableFieldId="24"/>
    <tableColumn id="4" xr3:uid="{7C143BFD-D342-41FB-9C12-480955CD6A0F}" uniqueName="4" name="Topic Area" queryTableFieldId="4" dataDxfId="15"/>
    <tableColumn id="5" xr3:uid="{DD84AFD6-AF3F-4B68-A2F0-8582303B05EE}" uniqueName="5" name="Academic Policies" queryTableFieldId="5" dataDxfId="14"/>
    <tableColumn id="6" xr3:uid="{168D9814-F255-4626-9F08-A50FC20E2D74}" uniqueName="6" name="Campus Life" queryTableFieldId="6" dataDxfId="13"/>
    <tableColumn id="7" xr3:uid="{4D266BDF-3D11-4674-A2A5-2B6976C77BC1}" uniqueName="7" name="Student Government" queryTableFieldId="7" dataDxfId="12"/>
    <tableColumn id="8" xr3:uid="{B99F86D2-F3A4-406D-A96C-D22B20471D95}" uniqueName="8" name="Financial/Administrative Decisions" queryTableFieldId="8" dataDxfId="11"/>
    <tableColumn id="9" xr3:uid="{52C92021-8651-4B98-AE26-0693FC59782F}" uniqueName="9" name="Diversity, Equity &amp; Inclusion" queryTableFieldId="9" dataDxfId="10"/>
    <tableColumn id="10" xr3:uid="{7E589AE1-D54A-4741-A724-2F65482EB5ED}" uniqueName="10" name="Activism/Social Movements" queryTableFieldId="10" dataDxfId="9"/>
    <tableColumn id="11" xr3:uid="{CC52AB60-4862-40B9-8B85-BA2E50AA16BB}" uniqueName="11" name="Facilities/Infrastructure" queryTableFieldId="11" dataDxfId="8"/>
    <tableColumn id="12" xr3:uid="{CD70F515-28E2-4817-92C6-F9C389E00020}" uniqueName="12" name="Faculty/Staff Relations" queryTableFieldId="12" dataDxfId="7"/>
    <tableColumn id="13" xr3:uid="{5DAE8F98-D65E-4805-B823-EBC9AFBF4CD8}" uniqueName="13" name="Mentioned Actors" queryTableFieldId="13" dataDxfId="6"/>
    <tableColumn id="14" xr3:uid="{D72F951C-6B61-4C86-BC38-9E817368677E}" uniqueName="14" name="Student government leaders or members" queryTableFieldId="14" dataDxfId="5"/>
    <tableColumn id="15" xr3:uid="{CB5C02ED-7FF2-4771-AC96-896E95AF24C0}" uniqueName="15" name="Individual students" queryTableFieldId="15" dataDxfId="4"/>
    <tableColumn id="16" xr3:uid="{9E57127A-B0F7-4434-A2A7-692A49AED7C0}" uniqueName="16" name="Student organizations or groups" queryTableFieldId="16" dataDxfId="3"/>
    <tableColumn id="17" xr3:uid="{6419254D-4C20-490E-ACB8-1F27CB6629C9}" uniqueName="17" name="Alumni" queryTableFieldId="17" dataDxfId="2"/>
    <tableColumn id="18" xr3:uid="{18A6DCF3-F1B1-4C46-BC84-F27C396A7749}" uniqueName="18" name="Administrators" queryTableFieldId="18" dataDxfId="1"/>
    <tableColumn id="19" xr3:uid="{22C7C7E7-E89C-4179-8FB2-A84B5A3205DA}" uniqueName="19" name="Faculty" queryTableFieldId="19" dataDxfId="0"/>
    <tableColumn id="20" xr3:uid="{068A5ECA-A9F7-434C-8B27-9291D72C3528}" uniqueName="20" name="Granted" queryTableFieldId="20"/>
    <tableColumn id="21" xr3:uid="{79BD1030-85EE-48B2-A03D-4969DD5F9AB7}" uniqueName="21" name="Gained" queryTableFieldId="21"/>
    <tableColumn id="22" xr3:uid="{617F9546-4176-4BBA-8CD7-D75D500212AF}" uniqueName="22" name="Progress" queryTableFieldId="2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33"/>
  <sheetViews>
    <sheetView topLeftCell="A104" workbookViewId="0">
      <selection activeCell="B131" sqref="B131"/>
    </sheetView>
  </sheetViews>
  <sheetFormatPr defaultColWidth="12.6640625" defaultRowHeight="15.75" customHeight="1" x14ac:dyDescent="0.25"/>
  <cols>
    <col min="5" max="5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2" t="s">
        <v>9</v>
      </c>
      <c r="C2" s="3" t="s">
        <v>10</v>
      </c>
      <c r="D2" s="3" t="s">
        <v>11</v>
      </c>
      <c r="E2" s="3" t="s">
        <v>12</v>
      </c>
      <c r="F2" s="4">
        <v>1</v>
      </c>
      <c r="G2" s="4">
        <v>1</v>
      </c>
      <c r="H2" s="4">
        <v>0</v>
      </c>
    </row>
    <row r="3" spans="1:8" x14ac:dyDescent="0.25">
      <c r="A3" s="1" t="s">
        <v>8</v>
      </c>
      <c r="B3" s="5" t="s">
        <v>13</v>
      </c>
      <c r="C3" s="6" t="s">
        <v>10</v>
      </c>
      <c r="D3" s="6" t="s">
        <v>14</v>
      </c>
      <c r="E3" s="6" t="s">
        <v>15</v>
      </c>
      <c r="F3" s="7">
        <v>1</v>
      </c>
      <c r="G3" s="7">
        <v>4</v>
      </c>
      <c r="H3" s="7">
        <v>3</v>
      </c>
    </row>
    <row r="4" spans="1:8" x14ac:dyDescent="0.25">
      <c r="A4" s="1" t="s">
        <v>8</v>
      </c>
      <c r="B4" s="2" t="s">
        <v>16</v>
      </c>
      <c r="C4" s="3" t="s">
        <v>10</v>
      </c>
      <c r="D4" s="3" t="s">
        <v>11</v>
      </c>
      <c r="E4" s="3" t="s">
        <v>17</v>
      </c>
      <c r="F4" s="4">
        <v>4</v>
      </c>
      <c r="G4" s="4">
        <v>4</v>
      </c>
      <c r="H4" s="4">
        <v>0</v>
      </c>
    </row>
    <row r="5" spans="1:8" x14ac:dyDescent="0.25">
      <c r="A5" s="1" t="s">
        <v>8</v>
      </c>
      <c r="B5" s="5" t="s">
        <v>18</v>
      </c>
      <c r="C5" s="6" t="s">
        <v>10</v>
      </c>
      <c r="D5" s="6" t="s">
        <v>19</v>
      </c>
      <c r="E5" s="6" t="s">
        <v>20</v>
      </c>
      <c r="F5" s="7">
        <v>5</v>
      </c>
      <c r="G5" s="7">
        <v>5</v>
      </c>
      <c r="H5" s="7">
        <v>0</v>
      </c>
    </row>
    <row r="6" spans="1:8" x14ac:dyDescent="0.25">
      <c r="A6" s="1" t="s">
        <v>8</v>
      </c>
      <c r="B6" s="2" t="s">
        <v>21</v>
      </c>
      <c r="C6" s="3" t="s">
        <v>10</v>
      </c>
      <c r="D6" s="3" t="s">
        <v>22</v>
      </c>
      <c r="E6" s="3" t="s">
        <v>23</v>
      </c>
      <c r="F6" s="4">
        <v>1</v>
      </c>
      <c r="G6" s="4">
        <v>5</v>
      </c>
      <c r="H6" s="4">
        <v>4</v>
      </c>
    </row>
    <row r="7" spans="1:8" x14ac:dyDescent="0.25">
      <c r="A7" s="1" t="s">
        <v>8</v>
      </c>
      <c r="B7" s="5" t="s">
        <v>24</v>
      </c>
      <c r="C7" s="6" t="s">
        <v>10</v>
      </c>
      <c r="D7" s="6" t="s">
        <v>25</v>
      </c>
      <c r="E7" s="6" t="s">
        <v>15</v>
      </c>
      <c r="F7" s="7">
        <v>2</v>
      </c>
      <c r="G7" s="7">
        <v>4</v>
      </c>
      <c r="H7" s="7">
        <v>2</v>
      </c>
    </row>
    <row r="8" spans="1:8" x14ac:dyDescent="0.25">
      <c r="A8" s="1" t="s">
        <v>8</v>
      </c>
      <c r="B8" s="2" t="s">
        <v>26</v>
      </c>
      <c r="C8" s="3" t="s">
        <v>10</v>
      </c>
      <c r="D8" s="3" t="s">
        <v>27</v>
      </c>
      <c r="E8" s="3" t="s">
        <v>28</v>
      </c>
      <c r="F8" s="4">
        <v>2</v>
      </c>
      <c r="G8" s="4">
        <v>3</v>
      </c>
      <c r="H8" s="4">
        <v>1</v>
      </c>
    </row>
    <row r="9" spans="1:8" x14ac:dyDescent="0.25">
      <c r="A9" s="1" t="s">
        <v>8</v>
      </c>
      <c r="B9" s="5" t="s">
        <v>29</v>
      </c>
      <c r="C9" s="6" t="s">
        <v>10</v>
      </c>
      <c r="D9" s="6" t="s">
        <v>19</v>
      </c>
      <c r="E9" s="6" t="s">
        <v>15</v>
      </c>
      <c r="F9" s="7">
        <v>2</v>
      </c>
      <c r="G9" s="7">
        <v>3</v>
      </c>
      <c r="H9" s="7">
        <v>1</v>
      </c>
    </row>
    <row r="10" spans="1:8" x14ac:dyDescent="0.25">
      <c r="A10" s="1" t="s">
        <v>8</v>
      </c>
      <c r="B10" s="2" t="s">
        <v>30</v>
      </c>
      <c r="C10" s="3" t="s">
        <v>31</v>
      </c>
      <c r="D10" s="3" t="s">
        <v>32</v>
      </c>
      <c r="E10" s="3" t="s">
        <v>33</v>
      </c>
      <c r="F10" s="4">
        <v>4</v>
      </c>
      <c r="G10" s="4">
        <v>1</v>
      </c>
      <c r="H10" s="4">
        <v>-3</v>
      </c>
    </row>
    <row r="11" spans="1:8" x14ac:dyDescent="0.25">
      <c r="A11" s="1" t="s">
        <v>8</v>
      </c>
      <c r="B11" s="5" t="s">
        <v>34</v>
      </c>
      <c r="C11" s="6" t="s">
        <v>31</v>
      </c>
      <c r="D11" s="6" t="s">
        <v>32</v>
      </c>
      <c r="E11" s="6" t="s">
        <v>35</v>
      </c>
      <c r="F11" s="7">
        <v>4</v>
      </c>
      <c r="G11" s="7">
        <v>4</v>
      </c>
      <c r="H11" s="7">
        <v>0</v>
      </c>
    </row>
    <row r="12" spans="1:8" x14ac:dyDescent="0.25">
      <c r="A12" s="1" t="s">
        <v>8</v>
      </c>
      <c r="B12" s="2" t="s">
        <v>36</v>
      </c>
      <c r="C12" s="3" t="s">
        <v>31</v>
      </c>
      <c r="D12" s="3" t="s">
        <v>37</v>
      </c>
      <c r="E12" s="3" t="s">
        <v>35</v>
      </c>
      <c r="F12" s="4">
        <v>1</v>
      </c>
      <c r="G12" s="4">
        <v>4</v>
      </c>
      <c r="H12" s="4">
        <v>3</v>
      </c>
    </row>
    <row r="13" spans="1:8" x14ac:dyDescent="0.25">
      <c r="A13" s="1" t="s">
        <v>8</v>
      </c>
      <c r="B13" s="5" t="s">
        <v>38</v>
      </c>
      <c r="C13" s="6" t="s">
        <v>31</v>
      </c>
      <c r="D13" s="6" t="s">
        <v>39</v>
      </c>
      <c r="E13" s="6" t="s">
        <v>40</v>
      </c>
      <c r="F13" s="7">
        <v>1</v>
      </c>
      <c r="G13" s="7">
        <v>4</v>
      </c>
      <c r="H13" s="7">
        <v>3</v>
      </c>
    </row>
    <row r="14" spans="1:8" x14ac:dyDescent="0.25">
      <c r="A14" s="1" t="s">
        <v>41</v>
      </c>
      <c r="B14" s="2" t="s">
        <v>42</v>
      </c>
      <c r="C14" s="3" t="s">
        <v>43</v>
      </c>
      <c r="D14" s="3" t="s">
        <v>11</v>
      </c>
      <c r="E14" s="3" t="s">
        <v>44</v>
      </c>
      <c r="F14" s="4">
        <v>4</v>
      </c>
      <c r="G14" s="4">
        <v>5</v>
      </c>
      <c r="H14" s="4">
        <v>1</v>
      </c>
    </row>
    <row r="15" spans="1:8" x14ac:dyDescent="0.25">
      <c r="A15" s="1" t="s">
        <v>41</v>
      </c>
      <c r="B15" s="5" t="s">
        <v>45</v>
      </c>
      <c r="C15" s="6" t="s">
        <v>43</v>
      </c>
      <c r="D15" s="6" t="s">
        <v>19</v>
      </c>
      <c r="E15" s="6" t="s">
        <v>44</v>
      </c>
      <c r="F15" s="7">
        <v>1</v>
      </c>
      <c r="G15" s="7">
        <v>3</v>
      </c>
      <c r="H15" s="7">
        <v>2</v>
      </c>
    </row>
    <row r="16" spans="1:8" x14ac:dyDescent="0.25">
      <c r="A16" s="1" t="s">
        <v>41</v>
      </c>
      <c r="B16" s="2" t="s">
        <v>46</v>
      </c>
      <c r="C16" s="3" t="s">
        <v>43</v>
      </c>
      <c r="D16" s="3" t="s">
        <v>47</v>
      </c>
      <c r="E16" s="3" t="s">
        <v>28</v>
      </c>
      <c r="F16" s="4">
        <v>2</v>
      </c>
      <c r="G16" s="4">
        <v>2</v>
      </c>
      <c r="H16" s="4">
        <v>0</v>
      </c>
    </row>
    <row r="17" spans="1:8" x14ac:dyDescent="0.25">
      <c r="A17" s="1" t="s">
        <v>41</v>
      </c>
      <c r="B17" s="5" t="s">
        <v>48</v>
      </c>
      <c r="C17" s="6" t="s">
        <v>43</v>
      </c>
      <c r="D17" s="6" t="s">
        <v>49</v>
      </c>
      <c r="E17" s="6" t="s">
        <v>50</v>
      </c>
      <c r="F17" s="7">
        <v>1</v>
      </c>
      <c r="G17" s="7">
        <v>2</v>
      </c>
      <c r="H17" s="7">
        <v>1</v>
      </c>
    </row>
    <row r="18" spans="1:8" x14ac:dyDescent="0.25">
      <c r="A18" s="1" t="s">
        <v>41</v>
      </c>
      <c r="B18" s="2" t="s">
        <v>51</v>
      </c>
      <c r="C18" s="3" t="s">
        <v>43</v>
      </c>
      <c r="D18" s="3" t="s">
        <v>11</v>
      </c>
      <c r="E18" s="3" t="s">
        <v>52</v>
      </c>
      <c r="F18" s="4">
        <v>1</v>
      </c>
      <c r="G18" s="4">
        <v>1</v>
      </c>
      <c r="H18" s="4">
        <v>0</v>
      </c>
    </row>
    <row r="19" spans="1:8" x14ac:dyDescent="0.25">
      <c r="A19" s="1" t="s">
        <v>41</v>
      </c>
      <c r="B19" s="5" t="s">
        <v>53</v>
      </c>
      <c r="C19" s="6" t="s">
        <v>43</v>
      </c>
      <c r="D19" s="6" t="s">
        <v>54</v>
      </c>
      <c r="E19" s="6" t="s">
        <v>52</v>
      </c>
      <c r="F19" s="7">
        <v>1.5</v>
      </c>
      <c r="G19" s="7">
        <v>1.5</v>
      </c>
      <c r="H19" s="7">
        <v>0</v>
      </c>
    </row>
    <row r="20" spans="1:8" x14ac:dyDescent="0.25">
      <c r="A20" s="1" t="s">
        <v>41</v>
      </c>
      <c r="B20" s="2" t="s">
        <v>55</v>
      </c>
      <c r="C20" s="3" t="s">
        <v>43</v>
      </c>
      <c r="D20" s="3" t="s">
        <v>14</v>
      </c>
      <c r="E20" s="3" t="s">
        <v>56</v>
      </c>
      <c r="F20" s="4">
        <v>1.5</v>
      </c>
      <c r="G20" s="4">
        <v>1</v>
      </c>
      <c r="H20" s="4">
        <v>-0.5</v>
      </c>
    </row>
    <row r="21" spans="1:8" x14ac:dyDescent="0.25">
      <c r="A21" s="1" t="s">
        <v>41</v>
      </c>
      <c r="B21" s="5" t="s">
        <v>57</v>
      </c>
      <c r="C21" s="6" t="s">
        <v>43</v>
      </c>
      <c r="D21" s="6" t="s">
        <v>19</v>
      </c>
      <c r="E21" s="6" t="s">
        <v>58</v>
      </c>
      <c r="F21" s="7">
        <v>1</v>
      </c>
      <c r="G21" s="7">
        <v>1</v>
      </c>
      <c r="H21" s="7">
        <v>0</v>
      </c>
    </row>
    <row r="22" spans="1:8" x14ac:dyDescent="0.25">
      <c r="A22" s="1" t="s">
        <v>41</v>
      </c>
      <c r="B22" s="2" t="s">
        <v>59</v>
      </c>
      <c r="C22" s="3" t="s">
        <v>43</v>
      </c>
      <c r="D22" s="3" t="s">
        <v>19</v>
      </c>
      <c r="E22" s="3" t="s">
        <v>35</v>
      </c>
      <c r="F22" s="4">
        <v>2</v>
      </c>
      <c r="G22" s="4">
        <v>5</v>
      </c>
      <c r="H22" s="4">
        <v>3</v>
      </c>
    </row>
    <row r="23" spans="1:8" x14ac:dyDescent="0.25">
      <c r="A23" s="1" t="s">
        <v>41</v>
      </c>
      <c r="B23" s="5" t="s">
        <v>60</v>
      </c>
      <c r="C23" s="6" t="s">
        <v>43</v>
      </c>
      <c r="D23" s="6" t="s">
        <v>11</v>
      </c>
      <c r="E23" s="6" t="s">
        <v>52</v>
      </c>
      <c r="F23" s="7">
        <v>1</v>
      </c>
      <c r="G23" s="7">
        <v>2</v>
      </c>
      <c r="H23" s="7">
        <v>1</v>
      </c>
    </row>
    <row r="24" spans="1:8" x14ac:dyDescent="0.25">
      <c r="A24" s="1" t="s">
        <v>41</v>
      </c>
      <c r="B24" s="2" t="s">
        <v>61</v>
      </c>
      <c r="C24" s="3" t="s">
        <v>43</v>
      </c>
      <c r="D24" s="3" t="s">
        <v>62</v>
      </c>
      <c r="E24" s="3" t="s">
        <v>35</v>
      </c>
      <c r="F24" s="4">
        <v>4</v>
      </c>
      <c r="G24" s="4">
        <v>3</v>
      </c>
      <c r="H24" s="4">
        <v>-1</v>
      </c>
    </row>
    <row r="25" spans="1:8" x14ac:dyDescent="0.25">
      <c r="A25" s="1" t="s">
        <v>41</v>
      </c>
      <c r="B25" s="5" t="s">
        <v>63</v>
      </c>
      <c r="C25" s="6" t="s">
        <v>43</v>
      </c>
      <c r="D25" s="6" t="s">
        <v>64</v>
      </c>
      <c r="E25" s="6" t="s">
        <v>44</v>
      </c>
      <c r="F25" s="7">
        <v>2</v>
      </c>
      <c r="G25" s="7">
        <v>2</v>
      </c>
      <c r="H25" s="7">
        <v>0</v>
      </c>
    </row>
    <row r="26" spans="1:8" x14ac:dyDescent="0.25">
      <c r="A26" s="1" t="s">
        <v>41</v>
      </c>
      <c r="B26" s="2" t="s">
        <v>65</v>
      </c>
      <c r="C26" s="3" t="s">
        <v>43</v>
      </c>
      <c r="D26" s="3" t="s">
        <v>47</v>
      </c>
      <c r="E26" s="3" t="s">
        <v>35</v>
      </c>
      <c r="F26" s="4">
        <v>5</v>
      </c>
      <c r="G26" s="4">
        <v>5</v>
      </c>
      <c r="H26" s="4">
        <v>0</v>
      </c>
    </row>
    <row r="27" spans="1:8" x14ac:dyDescent="0.25">
      <c r="A27" s="1" t="s">
        <v>41</v>
      </c>
      <c r="B27" s="5" t="s">
        <v>66</v>
      </c>
      <c r="C27" s="6" t="s">
        <v>43</v>
      </c>
      <c r="D27" s="6" t="s">
        <v>64</v>
      </c>
      <c r="E27" s="6" t="s">
        <v>28</v>
      </c>
      <c r="F27" s="7">
        <v>4</v>
      </c>
      <c r="G27" s="7">
        <v>2</v>
      </c>
      <c r="H27" s="7">
        <v>-2</v>
      </c>
    </row>
    <row r="28" spans="1:8" x14ac:dyDescent="0.25">
      <c r="A28" s="1" t="s">
        <v>41</v>
      </c>
      <c r="B28" s="2" t="s">
        <v>67</v>
      </c>
      <c r="C28" s="3" t="s">
        <v>43</v>
      </c>
      <c r="D28" s="3" t="s">
        <v>32</v>
      </c>
      <c r="E28" s="3" t="s">
        <v>68</v>
      </c>
      <c r="F28" s="4">
        <v>1</v>
      </c>
      <c r="G28" s="4">
        <v>5</v>
      </c>
      <c r="H28" s="4">
        <v>4</v>
      </c>
    </row>
    <row r="29" spans="1:8" x14ac:dyDescent="0.25">
      <c r="A29" s="1" t="s">
        <v>41</v>
      </c>
      <c r="B29" s="5" t="s">
        <v>69</v>
      </c>
      <c r="C29" s="6" t="s">
        <v>43</v>
      </c>
      <c r="D29" s="6" t="s">
        <v>70</v>
      </c>
      <c r="E29" s="6" t="s">
        <v>71</v>
      </c>
      <c r="F29" s="7">
        <v>2</v>
      </c>
      <c r="G29" s="7">
        <v>5</v>
      </c>
      <c r="H29" s="7">
        <v>3</v>
      </c>
    </row>
    <row r="30" spans="1:8" x14ac:dyDescent="0.25">
      <c r="A30" s="1" t="s">
        <v>41</v>
      </c>
      <c r="B30" s="2" t="s">
        <v>72</v>
      </c>
      <c r="C30" s="3" t="s">
        <v>43</v>
      </c>
      <c r="D30" s="3" t="s">
        <v>19</v>
      </c>
      <c r="E30" s="3" t="s">
        <v>56</v>
      </c>
      <c r="F30" s="4">
        <v>3.5</v>
      </c>
      <c r="G30" s="4">
        <v>5</v>
      </c>
      <c r="H30" s="4">
        <v>1.5</v>
      </c>
    </row>
    <row r="31" spans="1:8" x14ac:dyDescent="0.25">
      <c r="A31" s="1" t="s">
        <v>41</v>
      </c>
      <c r="B31" s="5" t="s">
        <v>73</v>
      </c>
      <c r="C31" s="6" t="s">
        <v>43</v>
      </c>
      <c r="D31" s="6" t="s">
        <v>25</v>
      </c>
      <c r="E31" s="6" t="s">
        <v>23</v>
      </c>
      <c r="F31" s="7">
        <v>1</v>
      </c>
      <c r="G31" s="7">
        <v>2</v>
      </c>
      <c r="H31" s="7">
        <v>1</v>
      </c>
    </row>
    <row r="32" spans="1:8" x14ac:dyDescent="0.25">
      <c r="A32" s="1" t="s">
        <v>41</v>
      </c>
      <c r="B32" s="2" t="s">
        <v>74</v>
      </c>
      <c r="C32" s="3" t="s">
        <v>43</v>
      </c>
      <c r="D32" s="3" t="s">
        <v>25</v>
      </c>
      <c r="E32" s="3" t="s">
        <v>75</v>
      </c>
      <c r="F32" s="4">
        <v>1</v>
      </c>
      <c r="G32" s="4">
        <v>2.5</v>
      </c>
      <c r="H32" s="4">
        <v>1.5</v>
      </c>
    </row>
    <row r="33" spans="1:8" x14ac:dyDescent="0.25">
      <c r="A33" s="1" t="s">
        <v>41</v>
      </c>
      <c r="B33" s="5" t="s">
        <v>76</v>
      </c>
      <c r="C33" s="6" t="s">
        <v>43</v>
      </c>
      <c r="D33" s="6" t="s">
        <v>14</v>
      </c>
      <c r="E33" s="6" t="s">
        <v>77</v>
      </c>
      <c r="F33" s="7">
        <v>1</v>
      </c>
      <c r="G33" s="7">
        <v>2</v>
      </c>
      <c r="H33" s="7">
        <v>1</v>
      </c>
    </row>
    <row r="34" spans="1:8" x14ac:dyDescent="0.25">
      <c r="A34" s="1" t="s">
        <v>41</v>
      </c>
      <c r="B34" s="2" t="s">
        <v>78</v>
      </c>
      <c r="C34" s="3" t="s">
        <v>43</v>
      </c>
      <c r="D34" s="3" t="s">
        <v>11</v>
      </c>
      <c r="E34" s="3" t="s">
        <v>77</v>
      </c>
      <c r="F34" s="4">
        <v>1</v>
      </c>
      <c r="G34" s="4">
        <v>3.5</v>
      </c>
      <c r="H34" s="4">
        <v>2.5</v>
      </c>
    </row>
    <row r="35" spans="1:8" x14ac:dyDescent="0.25">
      <c r="A35" s="1" t="s">
        <v>41</v>
      </c>
      <c r="B35" s="5" t="s">
        <v>79</v>
      </c>
      <c r="C35" s="6" t="s">
        <v>43</v>
      </c>
      <c r="D35" s="6" t="s">
        <v>19</v>
      </c>
      <c r="E35" s="6" t="s">
        <v>77</v>
      </c>
      <c r="F35" s="7">
        <v>2</v>
      </c>
      <c r="G35" s="7">
        <v>3</v>
      </c>
      <c r="H35" s="7">
        <v>1</v>
      </c>
    </row>
    <row r="36" spans="1:8" x14ac:dyDescent="0.25">
      <c r="A36" s="1" t="s">
        <v>41</v>
      </c>
      <c r="B36" s="2" t="s">
        <v>80</v>
      </c>
      <c r="C36" s="3" t="s">
        <v>43</v>
      </c>
      <c r="D36" s="3" t="s">
        <v>11</v>
      </c>
      <c r="E36" s="3" t="s">
        <v>77</v>
      </c>
      <c r="F36" s="4">
        <v>1</v>
      </c>
      <c r="G36" s="4">
        <v>2.5</v>
      </c>
      <c r="H36" s="4">
        <v>1.5</v>
      </c>
    </row>
    <row r="37" spans="1:8" x14ac:dyDescent="0.25">
      <c r="A37" s="1" t="s">
        <v>41</v>
      </c>
      <c r="B37" s="5" t="s">
        <v>81</v>
      </c>
      <c r="C37" s="6" t="s">
        <v>43</v>
      </c>
      <c r="D37" s="6" t="s">
        <v>25</v>
      </c>
      <c r="E37" s="6" t="s">
        <v>77</v>
      </c>
      <c r="F37" s="7">
        <v>1</v>
      </c>
      <c r="G37" s="7">
        <v>1.5</v>
      </c>
      <c r="H37" s="7">
        <v>0.5</v>
      </c>
    </row>
    <row r="38" spans="1:8" x14ac:dyDescent="0.25">
      <c r="A38" s="1" t="s">
        <v>41</v>
      </c>
      <c r="B38" s="2" t="s">
        <v>82</v>
      </c>
      <c r="C38" s="3" t="s">
        <v>43</v>
      </c>
      <c r="D38" s="3" t="s">
        <v>83</v>
      </c>
      <c r="E38" s="3" t="s">
        <v>77</v>
      </c>
      <c r="F38" s="4">
        <v>1</v>
      </c>
      <c r="G38" s="4">
        <v>2</v>
      </c>
      <c r="H38" s="4">
        <v>1</v>
      </c>
    </row>
    <row r="39" spans="1:8" x14ac:dyDescent="0.25">
      <c r="A39" s="1" t="s">
        <v>41</v>
      </c>
      <c r="B39" s="5" t="s">
        <v>84</v>
      </c>
      <c r="C39" s="6" t="s">
        <v>43</v>
      </c>
      <c r="D39" s="6" t="s">
        <v>11</v>
      </c>
      <c r="E39" s="6" t="s">
        <v>33</v>
      </c>
      <c r="F39" s="7">
        <v>1</v>
      </c>
      <c r="G39" s="7">
        <v>1</v>
      </c>
      <c r="H39" s="7">
        <v>0</v>
      </c>
    </row>
    <row r="40" spans="1:8" x14ac:dyDescent="0.25">
      <c r="A40" s="1" t="s">
        <v>41</v>
      </c>
      <c r="B40" s="2" t="s">
        <v>85</v>
      </c>
      <c r="C40" s="3" t="s">
        <v>43</v>
      </c>
      <c r="D40" s="3" t="s">
        <v>86</v>
      </c>
      <c r="E40" s="3" t="s">
        <v>40</v>
      </c>
      <c r="F40" s="4">
        <v>1</v>
      </c>
      <c r="G40" s="4">
        <v>2</v>
      </c>
      <c r="H40" s="4">
        <v>1</v>
      </c>
    </row>
    <row r="41" spans="1:8" x14ac:dyDescent="0.25">
      <c r="A41" s="1" t="s">
        <v>41</v>
      </c>
      <c r="B41" s="5" t="s">
        <v>87</v>
      </c>
      <c r="C41" s="6" t="s">
        <v>43</v>
      </c>
      <c r="D41" s="6" t="s">
        <v>32</v>
      </c>
      <c r="E41" s="6" t="s">
        <v>88</v>
      </c>
      <c r="F41" s="7">
        <v>1</v>
      </c>
      <c r="G41" s="7">
        <v>2</v>
      </c>
      <c r="H41" s="7">
        <v>1</v>
      </c>
    </row>
    <row r="42" spans="1:8" x14ac:dyDescent="0.25">
      <c r="A42" s="1" t="s">
        <v>41</v>
      </c>
      <c r="B42" s="2" t="s">
        <v>89</v>
      </c>
      <c r="C42" s="3" t="s">
        <v>43</v>
      </c>
      <c r="D42" s="3" t="s">
        <v>11</v>
      </c>
      <c r="E42" s="3" t="s">
        <v>77</v>
      </c>
      <c r="F42" s="4">
        <v>1</v>
      </c>
      <c r="G42" s="4">
        <v>2</v>
      </c>
      <c r="H42" s="4">
        <v>1</v>
      </c>
    </row>
    <row r="43" spans="1:8" x14ac:dyDescent="0.25">
      <c r="A43" s="1" t="s">
        <v>41</v>
      </c>
      <c r="B43" s="5" t="s">
        <v>90</v>
      </c>
      <c r="C43" s="6" t="s">
        <v>43</v>
      </c>
      <c r="D43" s="6" t="s">
        <v>19</v>
      </c>
      <c r="E43" s="6" t="s">
        <v>91</v>
      </c>
      <c r="F43" s="7">
        <v>1</v>
      </c>
      <c r="G43" s="7">
        <v>2</v>
      </c>
      <c r="H43" s="7">
        <v>1</v>
      </c>
    </row>
    <row r="44" spans="1:8" x14ac:dyDescent="0.25">
      <c r="A44" s="1" t="s">
        <v>41</v>
      </c>
      <c r="B44" s="2" t="s">
        <v>92</v>
      </c>
      <c r="C44" s="3" t="s">
        <v>43</v>
      </c>
      <c r="D44" s="3" t="s">
        <v>19</v>
      </c>
      <c r="E44" s="3" t="s">
        <v>93</v>
      </c>
      <c r="F44" s="4">
        <v>1</v>
      </c>
      <c r="G44" s="4">
        <v>2</v>
      </c>
      <c r="H44" s="4">
        <v>1</v>
      </c>
    </row>
    <row r="45" spans="1:8" x14ac:dyDescent="0.25">
      <c r="A45" s="1" t="s">
        <v>41</v>
      </c>
      <c r="B45" s="5" t="s">
        <v>94</v>
      </c>
      <c r="C45" s="6" t="s">
        <v>43</v>
      </c>
      <c r="D45" s="6" t="s">
        <v>32</v>
      </c>
      <c r="E45" s="6" t="s">
        <v>88</v>
      </c>
      <c r="F45" s="7">
        <v>1</v>
      </c>
      <c r="G45" s="7">
        <v>5</v>
      </c>
      <c r="H45" s="7">
        <v>4</v>
      </c>
    </row>
    <row r="46" spans="1:8" x14ac:dyDescent="0.25">
      <c r="A46" s="1" t="s">
        <v>41</v>
      </c>
      <c r="B46" s="2" t="s">
        <v>95</v>
      </c>
      <c r="C46" s="3" t="s">
        <v>43</v>
      </c>
      <c r="D46" s="3" t="s">
        <v>96</v>
      </c>
      <c r="E46" s="3" t="s">
        <v>44</v>
      </c>
      <c r="F46" s="4">
        <v>1</v>
      </c>
      <c r="G46" s="4">
        <v>2</v>
      </c>
      <c r="H46" s="4">
        <v>1</v>
      </c>
    </row>
    <row r="47" spans="1:8" x14ac:dyDescent="0.25">
      <c r="A47" s="1" t="s">
        <v>41</v>
      </c>
      <c r="B47" s="5" t="s">
        <v>97</v>
      </c>
      <c r="C47" s="6" t="s">
        <v>43</v>
      </c>
      <c r="D47" s="6" t="s">
        <v>19</v>
      </c>
      <c r="E47" s="6" t="s">
        <v>98</v>
      </c>
      <c r="F47" s="7">
        <v>5</v>
      </c>
      <c r="G47" s="7">
        <v>3</v>
      </c>
      <c r="H47" s="7">
        <v>2</v>
      </c>
    </row>
    <row r="48" spans="1:8" x14ac:dyDescent="0.25">
      <c r="A48" s="1" t="s">
        <v>41</v>
      </c>
      <c r="B48" s="2" t="s">
        <v>99</v>
      </c>
      <c r="C48" s="3" t="s">
        <v>43</v>
      </c>
      <c r="D48" s="3" t="s">
        <v>19</v>
      </c>
      <c r="E48" s="3" t="s">
        <v>23</v>
      </c>
      <c r="F48" s="4">
        <v>1</v>
      </c>
      <c r="G48" s="4">
        <v>2</v>
      </c>
      <c r="H48" s="4">
        <v>1</v>
      </c>
    </row>
    <row r="49" spans="1:8" x14ac:dyDescent="0.25">
      <c r="A49" s="1" t="s">
        <v>41</v>
      </c>
      <c r="B49" s="5" t="s">
        <v>100</v>
      </c>
      <c r="C49" s="6" t="s">
        <v>43</v>
      </c>
      <c r="D49" s="6" t="s">
        <v>11</v>
      </c>
      <c r="E49" s="6" t="s">
        <v>77</v>
      </c>
      <c r="F49" s="7">
        <v>1</v>
      </c>
      <c r="G49" s="7">
        <v>2</v>
      </c>
      <c r="H49" s="7">
        <v>1</v>
      </c>
    </row>
    <row r="50" spans="1:8" x14ac:dyDescent="0.25">
      <c r="A50" s="1" t="s">
        <v>41</v>
      </c>
      <c r="B50" s="2" t="s">
        <v>101</v>
      </c>
      <c r="C50" s="3" t="s">
        <v>43</v>
      </c>
      <c r="D50" s="3" t="s">
        <v>19</v>
      </c>
      <c r="E50" s="3" t="s">
        <v>102</v>
      </c>
      <c r="F50" s="4">
        <v>1</v>
      </c>
      <c r="G50" s="4">
        <v>2</v>
      </c>
      <c r="H50" s="4">
        <v>1</v>
      </c>
    </row>
    <row r="51" spans="1:8" x14ac:dyDescent="0.25">
      <c r="A51" s="1" t="s">
        <v>41</v>
      </c>
      <c r="B51" s="5" t="s">
        <v>103</v>
      </c>
      <c r="C51" s="6" t="s">
        <v>43</v>
      </c>
      <c r="D51" s="6" t="s">
        <v>19</v>
      </c>
      <c r="E51" s="6" t="s">
        <v>104</v>
      </c>
      <c r="F51" s="7">
        <v>1</v>
      </c>
      <c r="G51" s="7">
        <v>2</v>
      </c>
      <c r="H51" s="7">
        <v>1</v>
      </c>
    </row>
    <row r="52" spans="1:8" x14ac:dyDescent="0.25">
      <c r="A52" s="1" t="s">
        <v>41</v>
      </c>
      <c r="B52" s="2" t="s">
        <v>105</v>
      </c>
      <c r="C52" s="3" t="s">
        <v>43</v>
      </c>
      <c r="D52" s="3" t="s">
        <v>11</v>
      </c>
      <c r="E52" s="3" t="s">
        <v>44</v>
      </c>
      <c r="F52" s="4">
        <v>1</v>
      </c>
      <c r="G52" s="4">
        <v>2</v>
      </c>
      <c r="H52" s="4">
        <v>1</v>
      </c>
    </row>
    <row r="53" spans="1:8" x14ac:dyDescent="0.25">
      <c r="A53" s="1" t="s">
        <v>41</v>
      </c>
      <c r="B53" s="5" t="s">
        <v>106</v>
      </c>
      <c r="C53" s="6" t="s">
        <v>43</v>
      </c>
      <c r="D53" s="6" t="s">
        <v>19</v>
      </c>
      <c r="E53" s="6" t="s">
        <v>107</v>
      </c>
      <c r="F53" s="7">
        <v>1</v>
      </c>
      <c r="G53" s="7">
        <v>2</v>
      </c>
      <c r="H53" s="7">
        <v>1</v>
      </c>
    </row>
    <row r="54" spans="1:8" x14ac:dyDescent="0.25">
      <c r="A54" s="1" t="s">
        <v>41</v>
      </c>
      <c r="B54" s="2" t="s">
        <v>108</v>
      </c>
      <c r="C54" s="3" t="s">
        <v>43</v>
      </c>
      <c r="D54" s="3" t="s">
        <v>19</v>
      </c>
      <c r="E54" s="3" t="s">
        <v>88</v>
      </c>
      <c r="F54" s="4">
        <v>1</v>
      </c>
      <c r="G54" s="4">
        <v>2</v>
      </c>
      <c r="H54" s="4">
        <v>1</v>
      </c>
    </row>
    <row r="55" spans="1:8" x14ac:dyDescent="0.25">
      <c r="A55" s="1" t="s">
        <v>41</v>
      </c>
      <c r="B55" s="5" t="s">
        <v>109</v>
      </c>
      <c r="C55" s="6" t="s">
        <v>43</v>
      </c>
      <c r="D55" s="6" t="s">
        <v>19</v>
      </c>
      <c r="E55" s="6" t="s">
        <v>44</v>
      </c>
      <c r="F55" s="7">
        <v>1</v>
      </c>
      <c r="G55" s="7">
        <v>2</v>
      </c>
      <c r="H55" s="7">
        <v>1</v>
      </c>
    </row>
    <row r="56" spans="1:8" x14ac:dyDescent="0.25">
      <c r="A56" s="1" t="s">
        <v>41</v>
      </c>
      <c r="B56" s="2" t="s">
        <v>110</v>
      </c>
      <c r="C56" s="3" t="s">
        <v>111</v>
      </c>
      <c r="D56" s="3" t="s">
        <v>32</v>
      </c>
      <c r="E56" s="3" t="s">
        <v>35</v>
      </c>
      <c r="F56" s="4">
        <v>1</v>
      </c>
      <c r="G56" s="4">
        <v>3</v>
      </c>
      <c r="H56" s="4">
        <v>2</v>
      </c>
    </row>
    <row r="57" spans="1:8" x14ac:dyDescent="0.25">
      <c r="A57" s="1" t="s">
        <v>41</v>
      </c>
      <c r="B57" s="5" t="s">
        <v>112</v>
      </c>
      <c r="C57" s="6" t="s">
        <v>111</v>
      </c>
      <c r="D57" s="6" t="s">
        <v>113</v>
      </c>
      <c r="E57" s="8"/>
      <c r="F57" s="7">
        <v>2</v>
      </c>
      <c r="G57" s="7">
        <v>3</v>
      </c>
      <c r="H57" s="7">
        <v>1</v>
      </c>
    </row>
    <row r="58" spans="1:8" x14ac:dyDescent="0.25">
      <c r="A58" s="1" t="s">
        <v>41</v>
      </c>
      <c r="B58" s="2" t="s">
        <v>114</v>
      </c>
      <c r="C58" s="3" t="s">
        <v>111</v>
      </c>
      <c r="D58" s="3" t="s">
        <v>11</v>
      </c>
      <c r="E58" s="3" t="s">
        <v>58</v>
      </c>
      <c r="F58" s="4">
        <v>2</v>
      </c>
      <c r="G58" s="4">
        <v>3</v>
      </c>
      <c r="H58" s="4">
        <v>1</v>
      </c>
    </row>
    <row r="59" spans="1:8" x14ac:dyDescent="0.25">
      <c r="A59" s="1" t="s">
        <v>41</v>
      </c>
      <c r="B59" s="5" t="s">
        <v>115</v>
      </c>
      <c r="C59" s="6" t="s">
        <v>111</v>
      </c>
      <c r="D59" s="6" t="s">
        <v>116</v>
      </c>
      <c r="E59" s="6" t="s">
        <v>44</v>
      </c>
      <c r="F59" s="7">
        <v>1</v>
      </c>
      <c r="G59" s="7">
        <v>4</v>
      </c>
      <c r="H59" s="7">
        <v>3</v>
      </c>
    </row>
    <row r="60" spans="1:8" x14ac:dyDescent="0.25">
      <c r="A60" s="1" t="s">
        <v>41</v>
      </c>
      <c r="B60" s="2" t="s">
        <v>117</v>
      </c>
      <c r="C60" s="3" t="s">
        <v>111</v>
      </c>
      <c r="D60" s="3" t="s">
        <v>32</v>
      </c>
      <c r="E60" s="3" t="s">
        <v>35</v>
      </c>
      <c r="F60" s="4">
        <v>1</v>
      </c>
      <c r="G60" s="4">
        <v>4</v>
      </c>
      <c r="H60" s="4">
        <v>3</v>
      </c>
    </row>
    <row r="61" spans="1:8" x14ac:dyDescent="0.25">
      <c r="A61" s="1" t="s">
        <v>41</v>
      </c>
      <c r="B61" s="5" t="s">
        <v>118</v>
      </c>
      <c r="C61" s="6" t="s">
        <v>111</v>
      </c>
      <c r="D61" s="6" t="s">
        <v>32</v>
      </c>
      <c r="E61" s="6" t="s">
        <v>35</v>
      </c>
      <c r="F61" s="7">
        <v>1</v>
      </c>
      <c r="G61" s="7">
        <v>3</v>
      </c>
      <c r="H61" s="7">
        <v>2</v>
      </c>
    </row>
    <row r="62" spans="1:8" x14ac:dyDescent="0.25">
      <c r="A62" s="1" t="s">
        <v>41</v>
      </c>
      <c r="B62" s="2" t="s">
        <v>119</v>
      </c>
      <c r="C62" s="3" t="s">
        <v>111</v>
      </c>
      <c r="D62" s="3" t="s">
        <v>32</v>
      </c>
      <c r="E62" s="3" t="s">
        <v>35</v>
      </c>
      <c r="F62" s="4">
        <v>1</v>
      </c>
      <c r="G62" s="4">
        <v>5</v>
      </c>
      <c r="H62" s="4">
        <v>4</v>
      </c>
    </row>
    <row r="63" spans="1:8" x14ac:dyDescent="0.25">
      <c r="A63" s="1" t="s">
        <v>41</v>
      </c>
      <c r="B63" s="5" t="s">
        <v>120</v>
      </c>
      <c r="C63" s="6" t="s">
        <v>111</v>
      </c>
      <c r="D63" s="6" t="s">
        <v>113</v>
      </c>
      <c r="E63" s="6" t="s">
        <v>23</v>
      </c>
      <c r="F63" s="7">
        <v>2</v>
      </c>
      <c r="G63" s="7">
        <v>4</v>
      </c>
      <c r="H63" s="7">
        <v>2</v>
      </c>
    </row>
    <row r="64" spans="1:8" x14ac:dyDescent="0.25">
      <c r="A64" s="1" t="s">
        <v>41</v>
      </c>
      <c r="B64" s="2" t="s">
        <v>121</v>
      </c>
      <c r="C64" s="3" t="s">
        <v>111</v>
      </c>
      <c r="D64" s="3" t="s">
        <v>113</v>
      </c>
      <c r="E64" s="3" t="s">
        <v>88</v>
      </c>
      <c r="F64" s="4">
        <v>1</v>
      </c>
      <c r="G64" s="4">
        <v>5</v>
      </c>
      <c r="H64" s="4">
        <v>4</v>
      </c>
    </row>
    <row r="65" spans="1:8" x14ac:dyDescent="0.25">
      <c r="A65" s="1" t="s">
        <v>41</v>
      </c>
      <c r="B65" s="5" t="s">
        <v>122</v>
      </c>
      <c r="C65" s="6" t="s">
        <v>111</v>
      </c>
      <c r="D65" s="6" t="s">
        <v>113</v>
      </c>
      <c r="E65" s="6" t="s">
        <v>88</v>
      </c>
      <c r="F65" s="7">
        <v>1</v>
      </c>
      <c r="G65" s="7">
        <v>5</v>
      </c>
      <c r="H65" s="7">
        <v>4</v>
      </c>
    </row>
    <row r="66" spans="1:8" x14ac:dyDescent="0.25">
      <c r="A66" s="1" t="s">
        <v>41</v>
      </c>
      <c r="B66" s="2" t="s">
        <v>123</v>
      </c>
      <c r="C66" s="3" t="s">
        <v>111</v>
      </c>
      <c r="D66" s="3" t="s">
        <v>11</v>
      </c>
      <c r="E66" s="3" t="s">
        <v>93</v>
      </c>
      <c r="F66" s="4">
        <v>2</v>
      </c>
      <c r="G66" s="4">
        <v>4</v>
      </c>
      <c r="H66" s="4">
        <v>2</v>
      </c>
    </row>
    <row r="67" spans="1:8" x14ac:dyDescent="0.25">
      <c r="A67" s="1" t="s">
        <v>41</v>
      </c>
      <c r="B67" s="5" t="s">
        <v>124</v>
      </c>
      <c r="C67" s="6" t="s">
        <v>111</v>
      </c>
      <c r="D67" s="6" t="s">
        <v>62</v>
      </c>
      <c r="E67" s="6" t="s">
        <v>40</v>
      </c>
      <c r="F67" s="7">
        <v>2</v>
      </c>
      <c r="G67" s="7">
        <v>3</v>
      </c>
      <c r="H67" s="7">
        <v>1</v>
      </c>
    </row>
    <row r="68" spans="1:8" x14ac:dyDescent="0.25">
      <c r="A68" s="1" t="s">
        <v>41</v>
      </c>
      <c r="B68" s="2" t="s">
        <v>125</v>
      </c>
      <c r="C68" s="3" t="s">
        <v>111</v>
      </c>
      <c r="D68" s="3" t="s">
        <v>126</v>
      </c>
      <c r="E68" s="3" t="s">
        <v>93</v>
      </c>
      <c r="F68" s="4">
        <v>2</v>
      </c>
      <c r="G68" s="4">
        <v>3</v>
      </c>
      <c r="H68" s="4">
        <v>1</v>
      </c>
    </row>
    <row r="69" spans="1:8" x14ac:dyDescent="0.25">
      <c r="A69" s="1" t="s">
        <v>41</v>
      </c>
      <c r="B69" s="5" t="s">
        <v>127</v>
      </c>
      <c r="C69" s="6" t="s">
        <v>111</v>
      </c>
      <c r="D69" s="6" t="s">
        <v>11</v>
      </c>
      <c r="E69" s="6" t="s">
        <v>40</v>
      </c>
      <c r="F69" s="7">
        <v>2</v>
      </c>
      <c r="G69" s="7">
        <v>3</v>
      </c>
      <c r="H69" s="7">
        <v>1</v>
      </c>
    </row>
    <row r="70" spans="1:8" x14ac:dyDescent="0.25">
      <c r="A70" s="1" t="s">
        <v>41</v>
      </c>
      <c r="B70" s="2" t="s">
        <v>128</v>
      </c>
      <c r="C70" s="3" t="s">
        <v>111</v>
      </c>
      <c r="D70" s="3" t="s">
        <v>19</v>
      </c>
      <c r="E70" s="3" t="s">
        <v>129</v>
      </c>
      <c r="F70" s="4">
        <v>2</v>
      </c>
      <c r="G70" s="4">
        <v>3</v>
      </c>
      <c r="H70" s="4">
        <v>1</v>
      </c>
    </row>
    <row r="71" spans="1:8" x14ac:dyDescent="0.25">
      <c r="A71" s="1" t="s">
        <v>41</v>
      </c>
      <c r="B71" s="5" t="s">
        <v>130</v>
      </c>
      <c r="C71" s="6" t="s">
        <v>111</v>
      </c>
      <c r="D71" s="6" t="s">
        <v>131</v>
      </c>
      <c r="E71" s="6" t="s">
        <v>58</v>
      </c>
      <c r="F71" s="7">
        <v>2</v>
      </c>
      <c r="G71" s="7">
        <v>3</v>
      </c>
      <c r="H71" s="7">
        <v>1</v>
      </c>
    </row>
    <row r="72" spans="1:8" x14ac:dyDescent="0.25">
      <c r="A72" s="1" t="s">
        <v>41</v>
      </c>
      <c r="B72" s="2" t="s">
        <v>132</v>
      </c>
      <c r="C72" s="3" t="s">
        <v>111</v>
      </c>
      <c r="D72" s="3" t="s">
        <v>49</v>
      </c>
      <c r="E72" s="3" t="s">
        <v>104</v>
      </c>
      <c r="F72" s="4">
        <v>2</v>
      </c>
      <c r="G72" s="4">
        <v>3</v>
      </c>
      <c r="H72" s="4">
        <v>1</v>
      </c>
    </row>
    <row r="73" spans="1:8" x14ac:dyDescent="0.25">
      <c r="A73" s="1" t="s">
        <v>41</v>
      </c>
      <c r="B73" s="5" t="s">
        <v>133</v>
      </c>
      <c r="C73" s="6" t="s">
        <v>111</v>
      </c>
      <c r="D73" s="6" t="s">
        <v>11</v>
      </c>
      <c r="E73" s="6" t="s">
        <v>71</v>
      </c>
      <c r="F73" s="7">
        <v>2</v>
      </c>
      <c r="G73" s="7">
        <v>3</v>
      </c>
      <c r="H73" s="7">
        <v>1</v>
      </c>
    </row>
    <row r="74" spans="1:8" x14ac:dyDescent="0.25">
      <c r="A74" s="1" t="s">
        <v>41</v>
      </c>
      <c r="B74" s="2" t="s">
        <v>134</v>
      </c>
      <c r="C74" s="3" t="s">
        <v>111</v>
      </c>
      <c r="D74" s="3" t="s">
        <v>116</v>
      </c>
      <c r="E74" s="3" t="s">
        <v>35</v>
      </c>
      <c r="F74" s="4">
        <v>1</v>
      </c>
      <c r="G74" s="4">
        <v>5</v>
      </c>
      <c r="H74" s="4">
        <v>4</v>
      </c>
    </row>
    <row r="75" spans="1:8" x14ac:dyDescent="0.25">
      <c r="A75" s="1" t="s">
        <v>41</v>
      </c>
      <c r="B75" s="5" t="s">
        <v>135</v>
      </c>
      <c r="C75" s="6" t="s">
        <v>111</v>
      </c>
      <c r="D75" s="6" t="s">
        <v>136</v>
      </c>
      <c r="E75" s="6" t="s">
        <v>40</v>
      </c>
      <c r="F75" s="7">
        <v>2</v>
      </c>
      <c r="G75" s="7">
        <v>3</v>
      </c>
      <c r="H75" s="7">
        <v>1</v>
      </c>
    </row>
    <row r="76" spans="1:8" x14ac:dyDescent="0.25">
      <c r="A76" s="1" t="s">
        <v>41</v>
      </c>
      <c r="B76" s="2" t="s">
        <v>137</v>
      </c>
      <c r="C76" s="3" t="s">
        <v>111</v>
      </c>
      <c r="D76" s="3" t="s">
        <v>113</v>
      </c>
      <c r="E76" s="3" t="s">
        <v>35</v>
      </c>
      <c r="F76" s="4">
        <v>1</v>
      </c>
      <c r="G76" s="4">
        <v>5</v>
      </c>
      <c r="H76" s="4">
        <v>4</v>
      </c>
    </row>
    <row r="77" spans="1:8" x14ac:dyDescent="0.25">
      <c r="A77" s="1" t="s">
        <v>41</v>
      </c>
      <c r="B77" s="5" t="s">
        <v>138</v>
      </c>
      <c r="C77" s="6" t="s">
        <v>111</v>
      </c>
      <c r="D77" s="6" t="s">
        <v>11</v>
      </c>
      <c r="E77" s="6" t="s">
        <v>28</v>
      </c>
      <c r="F77" s="7">
        <v>1</v>
      </c>
      <c r="G77" s="7">
        <v>5</v>
      </c>
      <c r="H77" s="7">
        <v>4</v>
      </c>
    </row>
    <row r="78" spans="1:8" x14ac:dyDescent="0.25">
      <c r="A78" s="1" t="s">
        <v>41</v>
      </c>
      <c r="B78" s="2" t="s">
        <v>139</v>
      </c>
      <c r="C78" s="3" t="s">
        <v>111</v>
      </c>
      <c r="D78" s="3" t="s">
        <v>140</v>
      </c>
      <c r="E78" s="3" t="s">
        <v>58</v>
      </c>
      <c r="F78" s="4">
        <v>2</v>
      </c>
      <c r="G78" s="4">
        <v>3</v>
      </c>
      <c r="H78" s="4">
        <v>1</v>
      </c>
    </row>
    <row r="79" spans="1:8" x14ac:dyDescent="0.25">
      <c r="A79" s="1" t="s">
        <v>41</v>
      </c>
      <c r="B79" s="5" t="s">
        <v>141</v>
      </c>
      <c r="C79" s="6" t="s">
        <v>111</v>
      </c>
      <c r="D79" s="6" t="s">
        <v>11</v>
      </c>
      <c r="E79" s="6" t="s">
        <v>93</v>
      </c>
      <c r="F79" s="7">
        <v>2</v>
      </c>
      <c r="G79" s="7">
        <v>5</v>
      </c>
      <c r="H79" s="7">
        <v>3</v>
      </c>
    </row>
    <row r="80" spans="1:8" x14ac:dyDescent="0.25">
      <c r="A80" s="1" t="s">
        <v>41</v>
      </c>
      <c r="B80" s="2" t="s">
        <v>142</v>
      </c>
      <c r="C80" s="3" t="s">
        <v>111</v>
      </c>
      <c r="D80" s="3" t="s">
        <v>11</v>
      </c>
      <c r="E80" s="3" t="s">
        <v>23</v>
      </c>
      <c r="F80" s="4">
        <v>2</v>
      </c>
      <c r="G80" s="4">
        <v>3</v>
      </c>
      <c r="H80" s="4">
        <v>1</v>
      </c>
    </row>
    <row r="81" spans="1:8" x14ac:dyDescent="0.25">
      <c r="A81" s="1" t="s">
        <v>41</v>
      </c>
      <c r="B81" s="5" t="s">
        <v>143</v>
      </c>
      <c r="C81" s="6" t="s">
        <v>111</v>
      </c>
      <c r="D81" s="6" t="s">
        <v>32</v>
      </c>
      <c r="E81" s="6" t="s">
        <v>35</v>
      </c>
      <c r="F81" s="7">
        <v>1</v>
      </c>
      <c r="G81" s="7">
        <v>2</v>
      </c>
      <c r="H81" s="7">
        <v>1</v>
      </c>
    </row>
    <row r="82" spans="1:8" x14ac:dyDescent="0.25">
      <c r="A82" s="1" t="s">
        <v>41</v>
      </c>
      <c r="B82" s="2" t="s">
        <v>144</v>
      </c>
      <c r="C82" s="3" t="s">
        <v>111</v>
      </c>
      <c r="D82" s="3" t="s">
        <v>116</v>
      </c>
      <c r="E82" s="3" t="s">
        <v>35</v>
      </c>
      <c r="F82" s="4">
        <v>1</v>
      </c>
      <c r="G82" s="4">
        <v>2</v>
      </c>
      <c r="H82" s="4">
        <v>1</v>
      </c>
    </row>
    <row r="83" spans="1:8" x14ac:dyDescent="0.25">
      <c r="A83" s="1" t="s">
        <v>41</v>
      </c>
      <c r="B83" s="5" t="s">
        <v>145</v>
      </c>
      <c r="C83" s="6" t="s">
        <v>111</v>
      </c>
      <c r="D83" s="6" t="s">
        <v>32</v>
      </c>
      <c r="E83" s="6" t="s">
        <v>35</v>
      </c>
      <c r="F83" s="7">
        <v>1</v>
      </c>
      <c r="G83" s="7">
        <v>4</v>
      </c>
      <c r="H83" s="7">
        <v>3</v>
      </c>
    </row>
    <row r="84" spans="1:8" x14ac:dyDescent="0.25">
      <c r="A84" s="1" t="s">
        <v>41</v>
      </c>
      <c r="B84" s="2" t="s">
        <v>146</v>
      </c>
      <c r="C84" s="3" t="s">
        <v>111</v>
      </c>
      <c r="D84" s="3" t="s">
        <v>147</v>
      </c>
      <c r="E84" s="3" t="s">
        <v>35</v>
      </c>
      <c r="F84" s="4">
        <v>2</v>
      </c>
      <c r="G84" s="4">
        <v>3</v>
      </c>
      <c r="H84" s="4">
        <v>1</v>
      </c>
    </row>
    <row r="85" spans="1:8" x14ac:dyDescent="0.25">
      <c r="A85" s="1" t="s">
        <v>41</v>
      </c>
      <c r="B85" s="5" t="s">
        <v>148</v>
      </c>
      <c r="C85" s="6" t="s">
        <v>111</v>
      </c>
      <c r="D85" s="6" t="s">
        <v>11</v>
      </c>
      <c r="E85" s="6" t="s">
        <v>44</v>
      </c>
      <c r="F85" s="7">
        <v>2</v>
      </c>
      <c r="G85" s="7">
        <v>3</v>
      </c>
      <c r="H85" s="7">
        <v>1</v>
      </c>
    </row>
    <row r="86" spans="1:8" x14ac:dyDescent="0.25">
      <c r="A86" s="1" t="s">
        <v>149</v>
      </c>
      <c r="B86" s="2" t="s">
        <v>150</v>
      </c>
      <c r="C86" s="3" t="s">
        <v>151</v>
      </c>
      <c r="D86" s="3" t="s">
        <v>11</v>
      </c>
      <c r="E86" s="3" t="s">
        <v>71</v>
      </c>
      <c r="F86" s="4">
        <v>1</v>
      </c>
      <c r="G86" s="4">
        <v>2</v>
      </c>
      <c r="H86" s="4">
        <v>1</v>
      </c>
    </row>
    <row r="87" spans="1:8" x14ac:dyDescent="0.25">
      <c r="A87" s="1" t="s">
        <v>149</v>
      </c>
      <c r="B87" s="5" t="s">
        <v>152</v>
      </c>
      <c r="C87" s="6" t="s">
        <v>151</v>
      </c>
      <c r="D87" s="6" t="s">
        <v>11</v>
      </c>
      <c r="E87" s="6" t="s">
        <v>93</v>
      </c>
      <c r="F87" s="7">
        <v>1</v>
      </c>
      <c r="G87" s="7">
        <v>2</v>
      </c>
      <c r="H87" s="7">
        <v>1</v>
      </c>
    </row>
    <row r="88" spans="1:8" x14ac:dyDescent="0.25">
      <c r="A88" s="1" t="s">
        <v>149</v>
      </c>
      <c r="B88" s="2" t="s">
        <v>153</v>
      </c>
      <c r="C88" s="3" t="s">
        <v>151</v>
      </c>
      <c r="D88" s="3" t="s">
        <v>154</v>
      </c>
      <c r="E88" s="3" t="s">
        <v>93</v>
      </c>
      <c r="F88" s="4">
        <v>1</v>
      </c>
      <c r="G88" s="4">
        <v>1</v>
      </c>
      <c r="H88" s="4">
        <v>0</v>
      </c>
    </row>
    <row r="89" spans="1:8" x14ac:dyDescent="0.25">
      <c r="A89" s="1" t="s">
        <v>149</v>
      </c>
      <c r="B89" s="5" t="s">
        <v>155</v>
      </c>
      <c r="C89" s="6" t="s">
        <v>151</v>
      </c>
      <c r="D89" s="6" t="s">
        <v>64</v>
      </c>
      <c r="E89" s="6" t="s">
        <v>71</v>
      </c>
      <c r="F89" s="7">
        <v>1</v>
      </c>
      <c r="G89" s="7">
        <v>2</v>
      </c>
      <c r="H89" s="7">
        <v>1</v>
      </c>
    </row>
    <row r="90" spans="1:8" x14ac:dyDescent="0.25">
      <c r="A90" s="1" t="s">
        <v>149</v>
      </c>
      <c r="B90" s="2" t="s">
        <v>156</v>
      </c>
      <c r="C90" s="3" t="s">
        <v>151</v>
      </c>
      <c r="D90" s="3" t="s">
        <v>19</v>
      </c>
      <c r="E90" s="3" t="s">
        <v>104</v>
      </c>
      <c r="F90" s="4">
        <v>2</v>
      </c>
      <c r="G90" s="4">
        <v>2</v>
      </c>
      <c r="H90" s="4">
        <v>0</v>
      </c>
    </row>
    <row r="91" spans="1:8" x14ac:dyDescent="0.25">
      <c r="A91" s="1" t="s">
        <v>149</v>
      </c>
      <c r="B91" s="5" t="s">
        <v>157</v>
      </c>
      <c r="C91" s="6" t="s">
        <v>151</v>
      </c>
      <c r="D91" s="6" t="s">
        <v>158</v>
      </c>
      <c r="E91" s="6" t="s">
        <v>93</v>
      </c>
      <c r="F91" s="7">
        <v>1</v>
      </c>
      <c r="G91" s="7">
        <v>2</v>
      </c>
      <c r="H91" s="7">
        <v>1</v>
      </c>
    </row>
    <row r="92" spans="1:8" x14ac:dyDescent="0.25">
      <c r="A92" s="1" t="s">
        <v>149</v>
      </c>
      <c r="B92" s="2" t="s">
        <v>159</v>
      </c>
      <c r="C92" s="3" t="s">
        <v>151</v>
      </c>
      <c r="D92" s="3" t="s">
        <v>11</v>
      </c>
      <c r="E92" s="3" t="s">
        <v>93</v>
      </c>
      <c r="F92" s="4">
        <v>1</v>
      </c>
      <c r="G92" s="4">
        <v>1</v>
      </c>
      <c r="H92" s="4">
        <v>0</v>
      </c>
    </row>
    <row r="93" spans="1:8" x14ac:dyDescent="0.25">
      <c r="A93" s="1" t="s">
        <v>149</v>
      </c>
      <c r="B93" s="5" t="s">
        <v>160</v>
      </c>
      <c r="C93" s="6" t="s">
        <v>161</v>
      </c>
      <c r="D93" s="6" t="s">
        <v>19</v>
      </c>
      <c r="E93" s="6" t="s">
        <v>77</v>
      </c>
      <c r="F93" s="7">
        <v>1</v>
      </c>
      <c r="G93" s="7">
        <v>2</v>
      </c>
      <c r="H93" s="7">
        <v>1</v>
      </c>
    </row>
    <row r="94" spans="1:8" x14ac:dyDescent="0.25">
      <c r="A94" s="1" t="s">
        <v>149</v>
      </c>
      <c r="B94" s="2" t="s">
        <v>162</v>
      </c>
      <c r="C94" s="3" t="s">
        <v>161</v>
      </c>
      <c r="D94" s="3" t="s">
        <v>158</v>
      </c>
      <c r="E94" s="3" t="s">
        <v>23</v>
      </c>
      <c r="F94" s="4">
        <v>1</v>
      </c>
      <c r="G94" s="4">
        <v>2</v>
      </c>
      <c r="H94" s="4">
        <v>1</v>
      </c>
    </row>
    <row r="95" spans="1:8" x14ac:dyDescent="0.25">
      <c r="A95" s="1" t="s">
        <v>149</v>
      </c>
      <c r="B95" s="5" t="s">
        <v>163</v>
      </c>
      <c r="C95" s="6" t="s">
        <v>161</v>
      </c>
      <c r="D95" s="6" t="s">
        <v>11</v>
      </c>
      <c r="E95" s="6" t="s">
        <v>77</v>
      </c>
      <c r="F95" s="7">
        <v>1</v>
      </c>
      <c r="G95" s="7">
        <v>2</v>
      </c>
      <c r="H95" s="7">
        <v>1</v>
      </c>
    </row>
    <row r="96" spans="1:8" x14ac:dyDescent="0.25">
      <c r="A96" s="1" t="s">
        <v>149</v>
      </c>
      <c r="B96" s="2" t="s">
        <v>164</v>
      </c>
      <c r="C96" s="3" t="s">
        <v>161</v>
      </c>
      <c r="D96" s="3" t="s">
        <v>19</v>
      </c>
      <c r="E96" s="3" t="s">
        <v>91</v>
      </c>
      <c r="F96" s="4">
        <v>2</v>
      </c>
      <c r="G96" s="4">
        <v>2</v>
      </c>
      <c r="H96" s="4">
        <v>0</v>
      </c>
    </row>
    <row r="97" spans="1:8" x14ac:dyDescent="0.25">
      <c r="A97" s="1" t="s">
        <v>149</v>
      </c>
      <c r="B97" s="5" t="s">
        <v>165</v>
      </c>
      <c r="C97" s="6" t="s">
        <v>161</v>
      </c>
      <c r="D97" s="6" t="s">
        <v>19</v>
      </c>
      <c r="E97" s="6" t="s">
        <v>91</v>
      </c>
      <c r="F97" s="7">
        <v>1</v>
      </c>
      <c r="G97" s="7">
        <v>2</v>
      </c>
      <c r="H97" s="7">
        <v>1</v>
      </c>
    </row>
    <row r="98" spans="1:8" x14ac:dyDescent="0.25">
      <c r="A98" s="1" t="s">
        <v>149</v>
      </c>
      <c r="B98" s="2" t="s">
        <v>166</v>
      </c>
      <c r="C98" s="3" t="s">
        <v>161</v>
      </c>
      <c r="D98" s="3" t="s">
        <v>25</v>
      </c>
      <c r="E98" s="3" t="s">
        <v>15</v>
      </c>
      <c r="F98" s="4">
        <v>2</v>
      </c>
      <c r="G98" s="4">
        <v>2</v>
      </c>
      <c r="H98" s="4">
        <v>0</v>
      </c>
    </row>
    <row r="99" spans="1:8" x14ac:dyDescent="0.25">
      <c r="A99" s="1" t="s">
        <v>149</v>
      </c>
      <c r="B99" s="5" t="s">
        <v>167</v>
      </c>
      <c r="C99" s="6" t="s">
        <v>161</v>
      </c>
      <c r="D99" s="6" t="s">
        <v>11</v>
      </c>
      <c r="E99" s="6" t="s">
        <v>40</v>
      </c>
      <c r="F99" s="7">
        <v>1</v>
      </c>
      <c r="G99" s="7">
        <v>2</v>
      </c>
      <c r="H99" s="7">
        <v>1</v>
      </c>
    </row>
    <row r="100" spans="1:8" x14ac:dyDescent="0.25">
      <c r="A100" s="1" t="s">
        <v>149</v>
      </c>
      <c r="B100" s="2" t="s">
        <v>168</v>
      </c>
      <c r="C100" s="3" t="s">
        <v>161</v>
      </c>
      <c r="D100" s="3" t="s">
        <v>11</v>
      </c>
      <c r="E100" s="3" t="s">
        <v>40</v>
      </c>
      <c r="F100" s="4">
        <v>1</v>
      </c>
      <c r="G100" s="4">
        <v>5</v>
      </c>
      <c r="H100" s="4">
        <v>4</v>
      </c>
    </row>
    <row r="101" spans="1:8" x14ac:dyDescent="0.25">
      <c r="A101" s="1" t="s">
        <v>149</v>
      </c>
      <c r="B101" s="5" t="s">
        <v>169</v>
      </c>
      <c r="C101" s="6" t="s">
        <v>161</v>
      </c>
      <c r="D101" s="6" t="s">
        <v>11</v>
      </c>
      <c r="E101" s="6" t="s">
        <v>77</v>
      </c>
      <c r="F101" s="7">
        <v>1</v>
      </c>
      <c r="G101" s="7">
        <v>2</v>
      </c>
      <c r="H101" s="7">
        <v>1</v>
      </c>
    </row>
    <row r="102" spans="1:8" x14ac:dyDescent="0.25">
      <c r="A102" s="1" t="s">
        <v>149</v>
      </c>
      <c r="B102" s="2" t="s">
        <v>170</v>
      </c>
      <c r="C102" s="3" t="s">
        <v>161</v>
      </c>
      <c r="D102" s="3" t="s">
        <v>11</v>
      </c>
      <c r="E102" s="3" t="s">
        <v>77</v>
      </c>
      <c r="F102" s="4">
        <v>1</v>
      </c>
      <c r="G102" s="4">
        <v>2</v>
      </c>
      <c r="H102" s="4">
        <v>1</v>
      </c>
    </row>
    <row r="103" spans="1:8" x14ac:dyDescent="0.25">
      <c r="A103" s="1" t="s">
        <v>149</v>
      </c>
      <c r="B103" s="5" t="s">
        <v>171</v>
      </c>
      <c r="C103" s="6" t="s">
        <v>161</v>
      </c>
      <c r="D103" s="6" t="s">
        <v>158</v>
      </c>
      <c r="E103" s="6" t="s">
        <v>77</v>
      </c>
      <c r="F103" s="7">
        <v>1</v>
      </c>
      <c r="G103" s="7">
        <v>2</v>
      </c>
      <c r="H103" s="7">
        <v>1</v>
      </c>
    </row>
    <row r="104" spans="1:8" x14ac:dyDescent="0.25">
      <c r="A104" s="1" t="s">
        <v>149</v>
      </c>
      <c r="B104" s="2" t="s">
        <v>172</v>
      </c>
      <c r="C104" s="3" t="s">
        <v>173</v>
      </c>
      <c r="D104" s="3" t="s">
        <v>174</v>
      </c>
      <c r="E104" s="3" t="s">
        <v>175</v>
      </c>
      <c r="F104" s="4">
        <v>2</v>
      </c>
      <c r="G104" s="4">
        <v>5</v>
      </c>
      <c r="H104" s="4">
        <v>3</v>
      </c>
    </row>
    <row r="105" spans="1:8" x14ac:dyDescent="0.25">
      <c r="A105" s="1" t="s">
        <v>149</v>
      </c>
      <c r="B105" s="5" t="s">
        <v>176</v>
      </c>
      <c r="C105" s="6" t="s">
        <v>173</v>
      </c>
      <c r="D105" s="6" t="s">
        <v>11</v>
      </c>
      <c r="E105" s="6" t="s">
        <v>91</v>
      </c>
      <c r="F105" s="7">
        <v>2</v>
      </c>
      <c r="G105" s="7">
        <v>2</v>
      </c>
      <c r="H105" s="7">
        <v>0</v>
      </c>
    </row>
    <row r="106" spans="1:8" x14ac:dyDescent="0.25">
      <c r="A106" s="1" t="s">
        <v>149</v>
      </c>
      <c r="B106" s="2" t="s">
        <v>177</v>
      </c>
      <c r="C106" s="3" t="s">
        <v>173</v>
      </c>
      <c r="D106" s="3" t="s">
        <v>11</v>
      </c>
      <c r="E106" s="3" t="s">
        <v>40</v>
      </c>
      <c r="F106" s="4">
        <v>1</v>
      </c>
      <c r="G106" s="4">
        <v>2</v>
      </c>
      <c r="H106" s="4">
        <v>1</v>
      </c>
    </row>
    <row r="107" spans="1:8" x14ac:dyDescent="0.25">
      <c r="A107" s="1" t="s">
        <v>149</v>
      </c>
      <c r="B107" s="5" t="s">
        <v>178</v>
      </c>
      <c r="C107" s="6" t="s">
        <v>173</v>
      </c>
      <c r="D107" s="6" t="s">
        <v>32</v>
      </c>
      <c r="E107" s="6" t="s">
        <v>50</v>
      </c>
      <c r="F107" s="7">
        <v>1</v>
      </c>
      <c r="G107" s="7">
        <v>5</v>
      </c>
      <c r="H107" s="7">
        <v>4</v>
      </c>
    </row>
    <row r="108" spans="1:8" x14ac:dyDescent="0.25">
      <c r="A108" s="1" t="s">
        <v>149</v>
      </c>
      <c r="B108" s="2" t="s">
        <v>179</v>
      </c>
      <c r="C108" s="3" t="s">
        <v>173</v>
      </c>
      <c r="D108" s="3" t="s">
        <v>11</v>
      </c>
      <c r="E108" s="3" t="s">
        <v>180</v>
      </c>
      <c r="F108" s="4">
        <v>2</v>
      </c>
      <c r="G108" s="4">
        <v>3</v>
      </c>
      <c r="H108" s="4">
        <v>1</v>
      </c>
    </row>
    <row r="109" spans="1:8" x14ac:dyDescent="0.25">
      <c r="A109" s="1" t="s">
        <v>149</v>
      </c>
      <c r="B109" s="5" t="s">
        <v>181</v>
      </c>
      <c r="C109" s="6" t="s">
        <v>173</v>
      </c>
      <c r="D109" s="6" t="s">
        <v>32</v>
      </c>
      <c r="E109" s="6" t="s">
        <v>35</v>
      </c>
      <c r="F109" s="7">
        <v>2</v>
      </c>
      <c r="G109" s="7">
        <v>5</v>
      </c>
      <c r="H109" s="7">
        <v>3</v>
      </c>
    </row>
    <row r="110" spans="1:8" x14ac:dyDescent="0.25">
      <c r="A110" s="1" t="s">
        <v>149</v>
      </c>
      <c r="B110" s="2" t="s">
        <v>182</v>
      </c>
      <c r="C110" s="3" t="s">
        <v>173</v>
      </c>
      <c r="D110" s="3" t="s">
        <v>11</v>
      </c>
      <c r="E110" s="3" t="s">
        <v>93</v>
      </c>
      <c r="F110" s="4">
        <v>1</v>
      </c>
      <c r="G110" s="4">
        <v>5</v>
      </c>
      <c r="H110" s="4">
        <v>4</v>
      </c>
    </row>
    <row r="111" spans="1:8" x14ac:dyDescent="0.25">
      <c r="A111" s="1" t="s">
        <v>149</v>
      </c>
      <c r="B111" s="5" t="s">
        <v>183</v>
      </c>
      <c r="C111" s="6" t="s">
        <v>173</v>
      </c>
      <c r="D111" s="6" t="s">
        <v>11</v>
      </c>
      <c r="E111" s="6" t="s">
        <v>180</v>
      </c>
      <c r="F111" s="7">
        <v>2</v>
      </c>
      <c r="G111" s="7">
        <v>2</v>
      </c>
      <c r="H111" s="7">
        <v>0</v>
      </c>
    </row>
    <row r="112" spans="1:8" x14ac:dyDescent="0.25">
      <c r="A112" s="1" t="s">
        <v>184</v>
      </c>
      <c r="B112" s="2" t="s">
        <v>185</v>
      </c>
      <c r="C112" s="3" t="s">
        <v>186</v>
      </c>
      <c r="D112" s="3" t="s">
        <v>158</v>
      </c>
      <c r="E112" s="3" t="s">
        <v>93</v>
      </c>
      <c r="F112" s="4">
        <v>1</v>
      </c>
      <c r="G112" s="4">
        <v>2.5</v>
      </c>
      <c r="H112" s="4">
        <v>1.5</v>
      </c>
    </row>
    <row r="113" spans="1:8" x14ac:dyDescent="0.25">
      <c r="A113" s="1" t="s">
        <v>184</v>
      </c>
      <c r="B113" s="5" t="s">
        <v>187</v>
      </c>
      <c r="C113" s="6" t="s">
        <v>186</v>
      </c>
      <c r="D113" s="6" t="s">
        <v>19</v>
      </c>
      <c r="E113" s="6" t="s">
        <v>93</v>
      </c>
      <c r="F113" s="7">
        <v>1</v>
      </c>
      <c r="G113" s="7">
        <v>2</v>
      </c>
      <c r="H113" s="7">
        <v>1</v>
      </c>
    </row>
    <row r="114" spans="1:8" x14ac:dyDescent="0.25">
      <c r="A114" s="1" t="s">
        <v>184</v>
      </c>
      <c r="B114" s="2" t="s">
        <v>188</v>
      </c>
      <c r="C114" s="3" t="s">
        <v>186</v>
      </c>
      <c r="D114" s="3" t="s">
        <v>11</v>
      </c>
      <c r="E114" s="3" t="s">
        <v>93</v>
      </c>
      <c r="F114" s="4">
        <v>1</v>
      </c>
      <c r="G114" s="4">
        <v>2.5</v>
      </c>
      <c r="H114" s="4">
        <v>1.5</v>
      </c>
    </row>
    <row r="115" spans="1:8" x14ac:dyDescent="0.25">
      <c r="A115" s="1" t="s">
        <v>184</v>
      </c>
      <c r="B115" s="5" t="s">
        <v>189</v>
      </c>
      <c r="C115" s="6" t="s">
        <v>186</v>
      </c>
      <c r="D115" s="6" t="s">
        <v>11</v>
      </c>
      <c r="E115" s="6" t="s">
        <v>190</v>
      </c>
      <c r="F115" s="7">
        <v>1.5</v>
      </c>
      <c r="G115" s="7">
        <v>3</v>
      </c>
      <c r="H115" s="7">
        <v>1.5</v>
      </c>
    </row>
    <row r="116" spans="1:8" x14ac:dyDescent="0.25">
      <c r="A116" s="1" t="s">
        <v>184</v>
      </c>
      <c r="B116" s="2" t="s">
        <v>191</v>
      </c>
      <c r="C116" s="3" t="s">
        <v>186</v>
      </c>
      <c r="D116" s="3" t="s">
        <v>11</v>
      </c>
      <c r="E116" s="3" t="s">
        <v>93</v>
      </c>
      <c r="F116" s="4">
        <v>1</v>
      </c>
      <c r="G116" s="4">
        <v>2</v>
      </c>
      <c r="H116" s="4">
        <v>1</v>
      </c>
    </row>
    <row r="117" spans="1:8" x14ac:dyDescent="0.25">
      <c r="A117" s="1" t="s">
        <v>184</v>
      </c>
      <c r="B117" s="5" t="s">
        <v>192</v>
      </c>
      <c r="C117" s="6" t="s">
        <v>193</v>
      </c>
      <c r="D117" s="6" t="s">
        <v>39</v>
      </c>
      <c r="E117" s="6" t="s">
        <v>102</v>
      </c>
      <c r="F117" s="7">
        <v>1</v>
      </c>
      <c r="G117" s="7">
        <v>2</v>
      </c>
      <c r="H117" s="7">
        <v>1</v>
      </c>
    </row>
    <row r="118" spans="1:8" x14ac:dyDescent="0.25">
      <c r="A118" s="1" t="s">
        <v>184</v>
      </c>
      <c r="B118" s="2" t="s">
        <v>194</v>
      </c>
      <c r="C118" s="3" t="s">
        <v>193</v>
      </c>
      <c r="D118" s="3" t="s">
        <v>158</v>
      </c>
      <c r="E118" s="3" t="s">
        <v>77</v>
      </c>
      <c r="F118" s="4">
        <v>2</v>
      </c>
      <c r="G118" s="4">
        <v>2</v>
      </c>
      <c r="H118" s="4">
        <v>0</v>
      </c>
    </row>
    <row r="119" spans="1:8" x14ac:dyDescent="0.25">
      <c r="A119" s="1" t="s">
        <v>184</v>
      </c>
      <c r="B119" s="5" t="s">
        <v>195</v>
      </c>
      <c r="C119" s="6" t="s">
        <v>193</v>
      </c>
      <c r="D119" s="6" t="s">
        <v>32</v>
      </c>
      <c r="E119" s="6" t="s">
        <v>196</v>
      </c>
      <c r="F119" s="7">
        <v>2</v>
      </c>
      <c r="G119" s="7">
        <v>5</v>
      </c>
      <c r="H119" s="7">
        <v>3</v>
      </c>
    </row>
    <row r="120" spans="1:8" x14ac:dyDescent="0.25">
      <c r="A120" s="1" t="s">
        <v>184</v>
      </c>
      <c r="B120" s="2" t="s">
        <v>197</v>
      </c>
      <c r="C120" s="3" t="s">
        <v>193</v>
      </c>
      <c r="D120" s="3" t="s">
        <v>198</v>
      </c>
      <c r="E120" s="3" t="s">
        <v>44</v>
      </c>
      <c r="F120" s="4">
        <v>2</v>
      </c>
      <c r="G120" s="4">
        <v>2</v>
      </c>
      <c r="H120" s="4">
        <v>0</v>
      </c>
    </row>
    <row r="121" spans="1:8" x14ac:dyDescent="0.25">
      <c r="A121" s="1" t="s">
        <v>184</v>
      </c>
      <c r="B121" s="5" t="s">
        <v>199</v>
      </c>
      <c r="C121" s="6" t="s">
        <v>193</v>
      </c>
      <c r="D121" s="6" t="s">
        <v>32</v>
      </c>
      <c r="E121" s="6" t="s">
        <v>200</v>
      </c>
      <c r="F121" s="7">
        <v>2</v>
      </c>
      <c r="G121" s="7">
        <v>5</v>
      </c>
      <c r="H121" s="7">
        <v>3</v>
      </c>
    </row>
    <row r="122" spans="1:8" x14ac:dyDescent="0.25">
      <c r="A122" s="1" t="s">
        <v>184</v>
      </c>
      <c r="B122" s="2" t="s">
        <v>201</v>
      </c>
      <c r="C122" s="3" t="s">
        <v>193</v>
      </c>
      <c r="D122" s="3" t="s">
        <v>32</v>
      </c>
      <c r="E122" s="3" t="s">
        <v>200</v>
      </c>
      <c r="F122" s="4">
        <v>2</v>
      </c>
      <c r="G122" s="4">
        <v>5</v>
      </c>
      <c r="H122" s="4">
        <v>3</v>
      </c>
    </row>
    <row r="123" spans="1:8" x14ac:dyDescent="0.25">
      <c r="A123" s="1" t="s">
        <v>184</v>
      </c>
      <c r="B123" s="5" t="s">
        <v>202</v>
      </c>
      <c r="C123" s="6" t="s">
        <v>193</v>
      </c>
      <c r="D123" s="6" t="s">
        <v>158</v>
      </c>
      <c r="E123" s="6" t="s">
        <v>203</v>
      </c>
      <c r="F123" s="7">
        <v>2</v>
      </c>
      <c r="G123" s="7">
        <v>2</v>
      </c>
      <c r="H123" s="7">
        <v>0</v>
      </c>
    </row>
    <row r="124" spans="1:8" x14ac:dyDescent="0.25">
      <c r="A124" s="1" t="s">
        <v>184</v>
      </c>
      <c r="B124" s="2" t="s">
        <v>204</v>
      </c>
      <c r="C124" s="3" t="s">
        <v>193</v>
      </c>
      <c r="D124" s="3" t="s">
        <v>205</v>
      </c>
      <c r="E124" s="3" t="s">
        <v>58</v>
      </c>
      <c r="F124" s="4">
        <v>2</v>
      </c>
      <c r="G124" s="4">
        <v>3</v>
      </c>
      <c r="H124" s="4">
        <v>1</v>
      </c>
    </row>
    <row r="125" spans="1:8" x14ac:dyDescent="0.25">
      <c r="A125" s="1" t="s">
        <v>184</v>
      </c>
      <c r="B125" s="5" t="s">
        <v>206</v>
      </c>
      <c r="C125" s="6" t="s">
        <v>193</v>
      </c>
      <c r="D125" s="6" t="s">
        <v>39</v>
      </c>
      <c r="E125" s="6" t="s">
        <v>203</v>
      </c>
      <c r="F125" s="7">
        <v>2</v>
      </c>
      <c r="G125" s="7">
        <v>2</v>
      </c>
      <c r="H125" s="7">
        <v>0</v>
      </c>
    </row>
    <row r="126" spans="1:8" x14ac:dyDescent="0.25">
      <c r="A126" s="1" t="s">
        <v>184</v>
      </c>
      <c r="B126" s="2" t="s">
        <v>207</v>
      </c>
      <c r="C126" s="3" t="s">
        <v>193</v>
      </c>
      <c r="D126" s="3" t="s">
        <v>39</v>
      </c>
      <c r="E126" s="3" t="s">
        <v>40</v>
      </c>
      <c r="F126" s="4">
        <v>1</v>
      </c>
      <c r="G126" s="4">
        <v>2</v>
      </c>
      <c r="H126" s="4">
        <v>1</v>
      </c>
    </row>
    <row r="127" spans="1:8" x14ac:dyDescent="0.25">
      <c r="A127" s="1" t="s">
        <v>184</v>
      </c>
      <c r="B127" s="5" t="s">
        <v>208</v>
      </c>
      <c r="C127" s="6" t="s">
        <v>193</v>
      </c>
      <c r="D127" s="6" t="s">
        <v>39</v>
      </c>
      <c r="E127" s="6" t="s">
        <v>17</v>
      </c>
      <c r="F127" s="7">
        <v>1</v>
      </c>
      <c r="G127" s="7">
        <v>2</v>
      </c>
      <c r="H127" s="7">
        <v>1</v>
      </c>
    </row>
    <row r="128" spans="1:8" x14ac:dyDescent="0.25">
      <c r="A128" s="1" t="s">
        <v>184</v>
      </c>
      <c r="B128" s="2" t="s">
        <v>209</v>
      </c>
      <c r="C128" s="3" t="s">
        <v>193</v>
      </c>
      <c r="D128" s="3" t="s">
        <v>39</v>
      </c>
      <c r="E128" s="3" t="s">
        <v>44</v>
      </c>
      <c r="F128" s="4">
        <v>5</v>
      </c>
      <c r="G128" s="4">
        <v>5</v>
      </c>
      <c r="H128" s="4">
        <v>0</v>
      </c>
    </row>
    <row r="129" spans="1:8" x14ac:dyDescent="0.25">
      <c r="A129" s="1" t="s">
        <v>184</v>
      </c>
      <c r="B129" s="5" t="s">
        <v>210</v>
      </c>
      <c r="C129" s="6" t="s">
        <v>193</v>
      </c>
      <c r="D129" s="6" t="s">
        <v>32</v>
      </c>
      <c r="E129" s="6" t="s">
        <v>35</v>
      </c>
      <c r="F129" s="7">
        <v>1</v>
      </c>
      <c r="G129" s="7">
        <v>5</v>
      </c>
      <c r="H129" s="7">
        <v>4</v>
      </c>
    </row>
    <row r="130" spans="1:8" x14ac:dyDescent="0.25">
      <c r="A130" s="1" t="s">
        <v>184</v>
      </c>
      <c r="B130" s="2" t="s">
        <v>211</v>
      </c>
      <c r="C130" s="3" t="s">
        <v>193</v>
      </c>
      <c r="D130" s="3" t="s">
        <v>158</v>
      </c>
      <c r="E130" s="3" t="s">
        <v>212</v>
      </c>
      <c r="F130" s="4">
        <v>2</v>
      </c>
      <c r="G130" s="4">
        <v>5</v>
      </c>
      <c r="H130" s="4">
        <v>3</v>
      </c>
    </row>
    <row r="131" spans="1:8" x14ac:dyDescent="0.25">
      <c r="A131" s="1" t="s">
        <v>184</v>
      </c>
      <c r="B131" s="5" t="s">
        <v>213</v>
      </c>
      <c r="C131" s="6" t="s">
        <v>193</v>
      </c>
      <c r="D131" s="6" t="s">
        <v>39</v>
      </c>
      <c r="E131" s="6" t="s">
        <v>214</v>
      </c>
      <c r="F131" s="7">
        <v>2</v>
      </c>
      <c r="G131" s="7">
        <v>2</v>
      </c>
      <c r="H131" s="7">
        <v>0</v>
      </c>
    </row>
    <row r="132" spans="1:8" x14ac:dyDescent="0.25">
      <c r="A132" s="1" t="s">
        <v>184</v>
      </c>
      <c r="B132" s="2" t="s">
        <v>215</v>
      </c>
      <c r="C132" s="3" t="s">
        <v>193</v>
      </c>
      <c r="D132" s="3" t="s">
        <v>39</v>
      </c>
      <c r="E132" s="3" t="s">
        <v>216</v>
      </c>
      <c r="F132" s="4">
        <v>2</v>
      </c>
      <c r="G132" s="4">
        <v>2</v>
      </c>
      <c r="H132" s="4">
        <v>0</v>
      </c>
    </row>
    <row r="133" spans="1:8" x14ac:dyDescent="0.25">
      <c r="A133" s="1" t="s">
        <v>184</v>
      </c>
      <c r="B133" s="5" t="s">
        <v>217</v>
      </c>
      <c r="C133" s="6" t="s">
        <v>193</v>
      </c>
      <c r="D133" s="6" t="s">
        <v>32</v>
      </c>
      <c r="E133" s="6" t="s">
        <v>196</v>
      </c>
      <c r="F133" s="7">
        <v>1</v>
      </c>
      <c r="G133" s="7">
        <v>5</v>
      </c>
      <c r="H133" s="7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95DDB-31EE-4F36-9497-C2E2256A5218}">
  <dimension ref="A1:W133"/>
  <sheetViews>
    <sheetView workbookViewId="0">
      <selection activeCell="C28" sqref="C28"/>
    </sheetView>
  </sheetViews>
  <sheetFormatPr defaultRowHeight="13.2" x14ac:dyDescent="0.25"/>
  <cols>
    <col min="1" max="1" width="10.5546875" customWidth="1"/>
    <col min="2" max="2" width="18.88671875" customWidth="1"/>
    <col min="3" max="3" width="10.6640625" customWidth="1"/>
    <col min="5" max="5" width="42.6640625" customWidth="1"/>
    <col min="6" max="9" width="17.88671875" customWidth="1"/>
    <col min="10" max="11" width="17.6640625" customWidth="1"/>
    <col min="12" max="12" width="17.5546875" customWidth="1"/>
    <col min="13" max="13" width="13.88671875" customWidth="1"/>
    <col min="14" max="14" width="55.109375" style="10" customWidth="1"/>
    <col min="15" max="16" width="14.88671875" customWidth="1"/>
    <col min="17" max="18" width="14.44140625" customWidth="1"/>
    <col min="19" max="19" width="13" customWidth="1"/>
    <col min="20" max="20" width="12.21875" customWidth="1"/>
    <col min="21" max="21" width="9.33203125" customWidth="1"/>
    <col min="23" max="23" width="10.21875" customWidth="1"/>
  </cols>
  <sheetData>
    <row r="1" spans="1:23" x14ac:dyDescent="0.25">
      <c r="A1" t="s">
        <v>0</v>
      </c>
      <c r="B1" t="s">
        <v>1</v>
      </c>
      <c r="C1" s="9" t="s">
        <v>2</v>
      </c>
      <c r="D1" t="s">
        <v>224</v>
      </c>
      <c r="E1" t="s">
        <v>3</v>
      </c>
      <c r="F1" s="9" t="s">
        <v>220</v>
      </c>
      <c r="G1" s="9" t="s">
        <v>11</v>
      </c>
      <c r="H1" s="9" t="s">
        <v>32</v>
      </c>
      <c r="I1" s="9" t="s">
        <v>27</v>
      </c>
      <c r="J1" s="9" t="s">
        <v>219</v>
      </c>
      <c r="K1" s="9" t="s">
        <v>39</v>
      </c>
      <c r="L1" s="9" t="s">
        <v>96</v>
      </c>
      <c r="M1" s="9" t="s">
        <v>64</v>
      </c>
      <c r="N1" s="10" t="s">
        <v>4</v>
      </c>
      <c r="O1" s="9" t="s">
        <v>35</v>
      </c>
      <c r="P1" s="9" t="s">
        <v>44</v>
      </c>
      <c r="Q1" s="9" t="s">
        <v>40</v>
      </c>
      <c r="R1" s="9" t="s">
        <v>221</v>
      </c>
      <c r="S1" s="9" t="s">
        <v>93</v>
      </c>
      <c r="T1" s="9" t="s">
        <v>218</v>
      </c>
      <c r="U1" t="s">
        <v>5</v>
      </c>
      <c r="V1" t="s">
        <v>6</v>
      </c>
      <c r="W1" t="s">
        <v>7</v>
      </c>
    </row>
    <row r="2" spans="1:23" x14ac:dyDescent="0.25">
      <c r="A2" t="s">
        <v>8</v>
      </c>
      <c r="B2" t="s">
        <v>9</v>
      </c>
      <c r="C2" t="s">
        <v>225</v>
      </c>
      <c r="D2" t="s">
        <v>225</v>
      </c>
      <c r="E2" t="s">
        <v>11</v>
      </c>
      <c r="F2" t="str">
        <f t="shared" ref="F2:F33" si="0">IF(ISNUMBER(SEARCH("Academic Policies", $E2)), "T", "F")</f>
        <v>F</v>
      </c>
      <c r="G2" t="str">
        <f>IF(ISNUMBER(SEARCH("Campus Life", $E2)), "T", "F")</f>
        <v>T</v>
      </c>
      <c r="H2" t="str">
        <f t="shared" ref="H2:H33" si="1">IF(ISNUMBER(SEARCH("Student Government", $E2)), "T", "F")</f>
        <v>F</v>
      </c>
      <c r="I2" t="str">
        <f>IF(ISNUMBER(SEARCH("Financial/Administrative Decisions", $E2)), "T", "F")</f>
        <v>F</v>
      </c>
      <c r="J2" t="str">
        <f>IF(ISNUMBER(SEARCH("Diversity, Equity &amp; Inclusion", $E2)), "T", "F")</f>
        <v>F</v>
      </c>
      <c r="K2" t="str">
        <f>IF(ISNUMBER(SEARCH("Activism/Social Movements", $E2)), "T", "F")</f>
        <v>F</v>
      </c>
      <c r="L2" t="str">
        <f>IF(ISNUMBER(SEARCH("Facilities/Infrastructure", $E2)), "T", "F")</f>
        <v>F</v>
      </c>
      <c r="M2" t="str">
        <f>IF(ISNUMBER(SEARCH("Faculty/Staff Relations", $E2)), "T", "F")</f>
        <v>F</v>
      </c>
      <c r="N2" s="11" t="s">
        <v>12</v>
      </c>
      <c r="O2" t="str">
        <f>IF(ISNUMBER(SEARCH("Student government leaders or members", $N2)), "T", "F")</f>
        <v>F</v>
      </c>
      <c r="P2" t="str">
        <f>IF(ISNUMBER(SEARCH("Individual students", $N2)), "T", "F")</f>
        <v>F</v>
      </c>
      <c r="Q2" t="str">
        <f>IF(ISNUMBER(SEARCH("Student organizations or groups", $N2)), "T", "F")</f>
        <v>T</v>
      </c>
      <c r="R2" t="str">
        <f>IF(ISNUMBER(SEARCH("Alumni", $N2)), "T", "F")</f>
        <v>F</v>
      </c>
      <c r="S2" t="str">
        <f>IF(ISNUMBER(SEARCH("Administrators", $N2)), "T", "F")</f>
        <v>T</v>
      </c>
      <c r="T2" t="str">
        <f t="shared" ref="T2:T33" si="2">IF(ISNUMBER(SEARCH("Faculty", $N2)), "T", "F")</f>
        <v>F</v>
      </c>
      <c r="U2">
        <v>1</v>
      </c>
      <c r="V2">
        <v>1</v>
      </c>
      <c r="W2">
        <v>0</v>
      </c>
    </row>
    <row r="3" spans="1:23" x14ac:dyDescent="0.25">
      <c r="A3" t="s">
        <v>8</v>
      </c>
      <c r="B3" t="s">
        <v>13</v>
      </c>
      <c r="C3" t="s">
        <v>225</v>
      </c>
      <c r="D3" t="s">
        <v>225</v>
      </c>
      <c r="E3" t="s">
        <v>14</v>
      </c>
      <c r="F3" t="str">
        <f t="shared" si="0"/>
        <v>T</v>
      </c>
      <c r="G3" t="str">
        <f t="shared" ref="G3:G33" si="3">IF(ISNUMBER(SEARCH("Campus Life", $E3)), "T", "F")</f>
        <v>T</v>
      </c>
      <c r="H3" t="str">
        <f t="shared" si="1"/>
        <v>F</v>
      </c>
      <c r="I3" t="str">
        <f t="shared" ref="I3:I33" si="4">IF(ISNUMBER(SEARCH("Financial/Administrative Decisions", $E3)), "T", "F")</f>
        <v>F</v>
      </c>
      <c r="J3" t="str">
        <f t="shared" ref="J3:J33" si="5">IF(ISNUMBER(SEARCH("Diversity, Equity &amp; Inclusion", $E3)), "T", "F")</f>
        <v>F</v>
      </c>
      <c r="K3" t="str">
        <f t="shared" ref="K3:K33" si="6">IF(ISNUMBER(SEARCH("Activism/Social Movements", $E3)), "T", "F")</f>
        <v>F</v>
      </c>
      <c r="L3" t="str">
        <f t="shared" ref="L3:L33" si="7">IF(ISNUMBER(SEARCH("Facilities/Infrastructure", $E3)), "T", "F")</f>
        <v>F</v>
      </c>
      <c r="M3" t="str">
        <f t="shared" ref="M2:M33" si="8">IF(ISNUMBER(SEARCH("Faculty/Staff Relations", $E3)), "T", "F")</f>
        <v>F</v>
      </c>
      <c r="N3" s="11" t="s">
        <v>15</v>
      </c>
      <c r="O3" t="str">
        <f t="shared" ref="O2:O33" si="9">IF(ISNUMBER(SEARCH("Student government leaders or members", $N3)), "T", "F")</f>
        <v>T</v>
      </c>
      <c r="P3" t="str">
        <f t="shared" ref="P2:P33" si="10">IF(ISNUMBER(SEARCH("Individual students", $N3)), "T", "F")</f>
        <v>T</v>
      </c>
      <c r="Q3" t="str">
        <f t="shared" ref="Q2:Q33" si="11">IF(ISNUMBER(SEARCH("Student organizations or groups", $N3)), "T", "F")</f>
        <v>F</v>
      </c>
      <c r="R3" t="str">
        <f t="shared" ref="R2:R33" si="12">IF(ISNUMBER(SEARCH("Alumni", $N3)), "T", "F")</f>
        <v>F</v>
      </c>
      <c r="S3" t="str">
        <f t="shared" ref="S2:S33" si="13">IF(ISNUMBER(SEARCH("Administrators", $N3)), "T", "F")</f>
        <v>T</v>
      </c>
      <c r="T3" t="str">
        <f t="shared" si="2"/>
        <v>F</v>
      </c>
      <c r="U3">
        <v>1</v>
      </c>
      <c r="V3">
        <v>4</v>
      </c>
      <c r="W3">
        <v>3</v>
      </c>
    </row>
    <row r="4" spans="1:23" x14ac:dyDescent="0.25">
      <c r="A4" t="s">
        <v>8</v>
      </c>
      <c r="B4" t="s">
        <v>16</v>
      </c>
      <c r="C4" t="s">
        <v>225</v>
      </c>
      <c r="D4" t="s">
        <v>225</v>
      </c>
      <c r="E4" s="9" t="s">
        <v>11</v>
      </c>
      <c r="F4" t="str">
        <f t="shared" si="0"/>
        <v>F</v>
      </c>
      <c r="G4" t="str">
        <f t="shared" si="3"/>
        <v>T</v>
      </c>
      <c r="H4" t="str">
        <f t="shared" si="1"/>
        <v>F</v>
      </c>
      <c r="I4" t="str">
        <f t="shared" si="4"/>
        <v>F</v>
      </c>
      <c r="J4" t="str">
        <f t="shared" si="5"/>
        <v>F</v>
      </c>
      <c r="K4" t="str">
        <f t="shared" si="6"/>
        <v>F</v>
      </c>
      <c r="L4" t="str">
        <f t="shared" si="7"/>
        <v>F</v>
      </c>
      <c r="M4" t="str">
        <f t="shared" si="8"/>
        <v>F</v>
      </c>
      <c r="N4" s="10" t="s">
        <v>17</v>
      </c>
      <c r="O4" t="str">
        <f t="shared" si="9"/>
        <v>F</v>
      </c>
      <c r="P4" t="str">
        <f t="shared" si="10"/>
        <v>T</v>
      </c>
      <c r="Q4" t="str">
        <f t="shared" si="11"/>
        <v>T</v>
      </c>
      <c r="R4" t="str">
        <f t="shared" si="12"/>
        <v>F</v>
      </c>
      <c r="S4" t="str">
        <f t="shared" si="13"/>
        <v>F</v>
      </c>
      <c r="T4" t="str">
        <f t="shared" si="2"/>
        <v>F</v>
      </c>
      <c r="U4">
        <v>4</v>
      </c>
      <c r="V4">
        <v>4</v>
      </c>
      <c r="W4">
        <v>0</v>
      </c>
    </row>
    <row r="5" spans="1:23" x14ac:dyDescent="0.25">
      <c r="A5" t="s">
        <v>8</v>
      </c>
      <c r="B5" t="s">
        <v>18</v>
      </c>
      <c r="C5" t="s">
        <v>225</v>
      </c>
      <c r="D5" t="s">
        <v>225</v>
      </c>
      <c r="E5" t="s">
        <v>19</v>
      </c>
      <c r="F5" t="str">
        <f t="shared" si="0"/>
        <v>T</v>
      </c>
      <c r="G5" t="str">
        <f t="shared" si="3"/>
        <v>F</v>
      </c>
      <c r="H5" t="str">
        <f t="shared" si="1"/>
        <v>F</v>
      </c>
      <c r="I5" t="str">
        <f t="shared" si="4"/>
        <v>F</v>
      </c>
      <c r="J5" t="str">
        <f t="shared" si="5"/>
        <v>F</v>
      </c>
      <c r="K5" t="str">
        <f t="shared" si="6"/>
        <v>F</v>
      </c>
      <c r="L5" t="str">
        <f t="shared" si="7"/>
        <v>F</v>
      </c>
      <c r="M5" t="str">
        <f t="shared" si="8"/>
        <v>F</v>
      </c>
      <c r="N5" s="11" t="s">
        <v>20</v>
      </c>
      <c r="O5" t="str">
        <f t="shared" si="9"/>
        <v>F</v>
      </c>
      <c r="P5" t="str">
        <f t="shared" si="10"/>
        <v>F</v>
      </c>
      <c r="Q5" t="str">
        <f t="shared" si="11"/>
        <v>T</v>
      </c>
      <c r="R5" t="str">
        <f t="shared" si="12"/>
        <v>F</v>
      </c>
      <c r="S5" t="str">
        <f t="shared" si="13"/>
        <v>F</v>
      </c>
      <c r="T5" t="str">
        <f t="shared" si="2"/>
        <v>T</v>
      </c>
      <c r="U5">
        <v>5</v>
      </c>
      <c r="V5">
        <v>5</v>
      </c>
      <c r="W5">
        <v>0</v>
      </c>
    </row>
    <row r="6" spans="1:23" x14ac:dyDescent="0.25">
      <c r="A6" t="s">
        <v>8</v>
      </c>
      <c r="B6" t="s">
        <v>21</v>
      </c>
      <c r="C6" t="s">
        <v>225</v>
      </c>
      <c r="D6" t="s">
        <v>225</v>
      </c>
      <c r="E6" t="s">
        <v>22</v>
      </c>
      <c r="F6" t="str">
        <f t="shared" si="0"/>
        <v>T</v>
      </c>
      <c r="G6" t="str">
        <f t="shared" si="3"/>
        <v>F</v>
      </c>
      <c r="H6" t="str">
        <f t="shared" si="1"/>
        <v>F</v>
      </c>
      <c r="I6" t="str">
        <f t="shared" si="4"/>
        <v>F</v>
      </c>
      <c r="J6" t="str">
        <f t="shared" si="5"/>
        <v>T</v>
      </c>
      <c r="K6" t="str">
        <f t="shared" si="6"/>
        <v>F</v>
      </c>
      <c r="L6" t="str">
        <f t="shared" si="7"/>
        <v>F</v>
      </c>
      <c r="M6" t="str">
        <f t="shared" si="8"/>
        <v>F</v>
      </c>
      <c r="N6" s="10" t="s">
        <v>23</v>
      </c>
      <c r="O6" t="str">
        <f t="shared" si="9"/>
        <v>T</v>
      </c>
      <c r="P6" t="str">
        <f t="shared" si="10"/>
        <v>F</v>
      </c>
      <c r="Q6" t="str">
        <f t="shared" si="11"/>
        <v>F</v>
      </c>
      <c r="R6" t="str">
        <f t="shared" si="12"/>
        <v>F</v>
      </c>
      <c r="S6" t="str">
        <f t="shared" si="13"/>
        <v>T</v>
      </c>
      <c r="T6" t="str">
        <f t="shared" si="2"/>
        <v>F</v>
      </c>
      <c r="U6">
        <v>1</v>
      </c>
      <c r="V6">
        <v>5</v>
      </c>
      <c r="W6">
        <v>4</v>
      </c>
    </row>
    <row r="7" spans="1:23" x14ac:dyDescent="0.25">
      <c r="A7" t="s">
        <v>8</v>
      </c>
      <c r="B7" t="s">
        <v>24</v>
      </c>
      <c r="C7" t="s">
        <v>225</v>
      </c>
      <c r="D7" t="s">
        <v>225</v>
      </c>
      <c r="E7" t="s">
        <v>25</v>
      </c>
      <c r="F7" t="str">
        <f t="shared" si="0"/>
        <v>T</v>
      </c>
      <c r="G7" t="str">
        <f t="shared" si="3"/>
        <v>T</v>
      </c>
      <c r="H7" t="str">
        <f t="shared" si="1"/>
        <v>T</v>
      </c>
      <c r="I7" t="str">
        <f t="shared" si="4"/>
        <v>F</v>
      </c>
      <c r="J7" t="str">
        <f t="shared" si="5"/>
        <v>F</v>
      </c>
      <c r="K7" t="str">
        <f t="shared" si="6"/>
        <v>F</v>
      </c>
      <c r="L7" t="str">
        <f t="shared" si="7"/>
        <v>F</v>
      </c>
      <c r="M7" t="str">
        <f t="shared" si="8"/>
        <v>F</v>
      </c>
      <c r="N7" s="10" t="s">
        <v>15</v>
      </c>
      <c r="O7" t="str">
        <f t="shared" si="9"/>
        <v>T</v>
      </c>
      <c r="P7" t="str">
        <f t="shared" si="10"/>
        <v>T</v>
      </c>
      <c r="Q7" t="str">
        <f t="shared" si="11"/>
        <v>F</v>
      </c>
      <c r="R7" t="str">
        <f t="shared" si="12"/>
        <v>F</v>
      </c>
      <c r="S7" t="str">
        <f t="shared" si="13"/>
        <v>T</v>
      </c>
      <c r="T7" t="str">
        <f t="shared" si="2"/>
        <v>F</v>
      </c>
      <c r="U7">
        <v>2</v>
      </c>
      <c r="V7">
        <v>4</v>
      </c>
      <c r="W7">
        <v>2</v>
      </c>
    </row>
    <row r="8" spans="1:23" x14ac:dyDescent="0.25">
      <c r="A8" t="s">
        <v>8</v>
      </c>
      <c r="B8" t="s">
        <v>26</v>
      </c>
      <c r="C8" t="s">
        <v>225</v>
      </c>
      <c r="D8" t="s">
        <v>225</v>
      </c>
      <c r="E8" t="s">
        <v>27</v>
      </c>
      <c r="F8" t="str">
        <f t="shared" si="0"/>
        <v>F</v>
      </c>
      <c r="G8" t="str">
        <f t="shared" si="3"/>
        <v>F</v>
      </c>
      <c r="H8" t="str">
        <f t="shared" si="1"/>
        <v>F</v>
      </c>
      <c r="I8" t="str">
        <f t="shared" si="4"/>
        <v>T</v>
      </c>
      <c r="J8" t="str">
        <f t="shared" si="5"/>
        <v>F</v>
      </c>
      <c r="K8" t="str">
        <f t="shared" si="6"/>
        <v>F</v>
      </c>
      <c r="L8" t="str">
        <f t="shared" si="7"/>
        <v>F</v>
      </c>
      <c r="M8" t="str">
        <f t="shared" si="8"/>
        <v>F</v>
      </c>
      <c r="N8" s="10" t="s">
        <v>28</v>
      </c>
      <c r="O8" t="str">
        <f t="shared" si="9"/>
        <v>T</v>
      </c>
      <c r="P8" t="str">
        <f t="shared" si="10"/>
        <v>F</v>
      </c>
      <c r="Q8" t="str">
        <f t="shared" si="11"/>
        <v>T</v>
      </c>
      <c r="R8" t="str">
        <f t="shared" si="12"/>
        <v>F</v>
      </c>
      <c r="S8" t="str">
        <f t="shared" si="13"/>
        <v>F</v>
      </c>
      <c r="T8" t="str">
        <f t="shared" si="2"/>
        <v>F</v>
      </c>
      <c r="U8">
        <v>2</v>
      </c>
      <c r="V8">
        <v>3</v>
      </c>
      <c r="W8">
        <v>1</v>
      </c>
    </row>
    <row r="9" spans="1:23" x14ac:dyDescent="0.25">
      <c r="A9" t="s">
        <v>8</v>
      </c>
      <c r="B9" t="s">
        <v>29</v>
      </c>
      <c r="C9" t="s">
        <v>225</v>
      </c>
      <c r="D9" t="s">
        <v>225</v>
      </c>
      <c r="E9" t="s">
        <v>19</v>
      </c>
      <c r="F9" t="str">
        <f t="shared" si="0"/>
        <v>T</v>
      </c>
      <c r="G9" t="str">
        <f t="shared" si="3"/>
        <v>F</v>
      </c>
      <c r="H9" t="str">
        <f t="shared" si="1"/>
        <v>F</v>
      </c>
      <c r="I9" t="str">
        <f t="shared" si="4"/>
        <v>F</v>
      </c>
      <c r="J9" t="str">
        <f t="shared" si="5"/>
        <v>F</v>
      </c>
      <c r="K9" t="str">
        <f t="shared" si="6"/>
        <v>F</v>
      </c>
      <c r="L9" t="str">
        <f t="shared" si="7"/>
        <v>F</v>
      </c>
      <c r="M9" t="str">
        <f t="shared" si="8"/>
        <v>F</v>
      </c>
      <c r="N9" s="10" t="s">
        <v>15</v>
      </c>
      <c r="O9" t="str">
        <f t="shared" si="9"/>
        <v>T</v>
      </c>
      <c r="P9" t="str">
        <f t="shared" si="10"/>
        <v>T</v>
      </c>
      <c r="Q9" t="str">
        <f t="shared" si="11"/>
        <v>F</v>
      </c>
      <c r="R9" t="str">
        <f t="shared" si="12"/>
        <v>F</v>
      </c>
      <c r="S9" t="str">
        <f t="shared" si="13"/>
        <v>T</v>
      </c>
      <c r="T9" t="str">
        <f t="shared" si="2"/>
        <v>F</v>
      </c>
      <c r="U9">
        <v>2</v>
      </c>
      <c r="V9">
        <v>3</v>
      </c>
      <c r="W9">
        <v>1</v>
      </c>
    </row>
    <row r="10" spans="1:23" x14ac:dyDescent="0.25">
      <c r="A10" t="s">
        <v>8</v>
      </c>
      <c r="B10" t="s">
        <v>30</v>
      </c>
      <c r="C10" t="s">
        <v>31</v>
      </c>
      <c r="D10" t="s">
        <v>31</v>
      </c>
      <c r="E10" t="s">
        <v>32</v>
      </c>
      <c r="F10" t="str">
        <f t="shared" si="0"/>
        <v>F</v>
      </c>
      <c r="G10" t="str">
        <f t="shared" si="3"/>
        <v>F</v>
      </c>
      <c r="H10" t="str">
        <f t="shared" si="1"/>
        <v>T</v>
      </c>
      <c r="I10" t="str">
        <f t="shared" si="4"/>
        <v>F</v>
      </c>
      <c r="J10" t="str">
        <f t="shared" si="5"/>
        <v>F</v>
      </c>
      <c r="K10" t="str">
        <f t="shared" si="6"/>
        <v>F</v>
      </c>
      <c r="L10" t="str">
        <f t="shared" si="7"/>
        <v>F</v>
      </c>
      <c r="M10" t="str">
        <f t="shared" si="8"/>
        <v>F</v>
      </c>
      <c r="N10" s="10" t="s">
        <v>33</v>
      </c>
      <c r="O10" t="str">
        <f t="shared" si="9"/>
        <v>T</v>
      </c>
      <c r="P10" t="str">
        <f t="shared" si="10"/>
        <v>T</v>
      </c>
      <c r="Q10" t="str">
        <f t="shared" si="11"/>
        <v>F</v>
      </c>
      <c r="R10" t="str">
        <f t="shared" si="12"/>
        <v>F</v>
      </c>
      <c r="S10" t="str">
        <f t="shared" si="13"/>
        <v>T</v>
      </c>
      <c r="T10" t="str">
        <f t="shared" si="2"/>
        <v>F</v>
      </c>
      <c r="U10">
        <v>4</v>
      </c>
      <c r="V10">
        <v>1</v>
      </c>
      <c r="W10">
        <v>-3</v>
      </c>
    </row>
    <row r="11" spans="1:23" x14ac:dyDescent="0.25">
      <c r="A11" t="s">
        <v>8</v>
      </c>
      <c r="B11" t="s">
        <v>34</v>
      </c>
      <c r="C11" t="s">
        <v>31</v>
      </c>
      <c r="D11" t="s">
        <v>31</v>
      </c>
      <c r="E11" t="s">
        <v>32</v>
      </c>
      <c r="F11" t="str">
        <f t="shared" si="0"/>
        <v>F</v>
      </c>
      <c r="G11" t="str">
        <f t="shared" si="3"/>
        <v>F</v>
      </c>
      <c r="H11" t="str">
        <f t="shared" si="1"/>
        <v>T</v>
      </c>
      <c r="I11" t="str">
        <f t="shared" si="4"/>
        <v>F</v>
      </c>
      <c r="J11" t="str">
        <f t="shared" si="5"/>
        <v>F</v>
      </c>
      <c r="K11" t="str">
        <f t="shared" si="6"/>
        <v>F</v>
      </c>
      <c r="L11" t="str">
        <f t="shared" si="7"/>
        <v>F</v>
      </c>
      <c r="M11" t="str">
        <f t="shared" si="8"/>
        <v>F</v>
      </c>
      <c r="N11" s="10" t="s">
        <v>35</v>
      </c>
      <c r="O11" t="str">
        <f t="shared" si="9"/>
        <v>T</v>
      </c>
      <c r="P11" t="str">
        <f t="shared" si="10"/>
        <v>F</v>
      </c>
      <c r="Q11" t="str">
        <f t="shared" si="11"/>
        <v>F</v>
      </c>
      <c r="R11" t="str">
        <f t="shared" si="12"/>
        <v>F</v>
      </c>
      <c r="S11" t="str">
        <f t="shared" si="13"/>
        <v>F</v>
      </c>
      <c r="T11" t="str">
        <f t="shared" si="2"/>
        <v>F</v>
      </c>
      <c r="U11">
        <v>4</v>
      </c>
      <c r="V11">
        <v>4</v>
      </c>
      <c r="W11">
        <v>0</v>
      </c>
    </row>
    <row r="12" spans="1:23" x14ac:dyDescent="0.25">
      <c r="A12" t="s">
        <v>8</v>
      </c>
      <c r="B12" t="s">
        <v>36</v>
      </c>
      <c r="C12" t="s">
        <v>31</v>
      </c>
      <c r="D12" t="s">
        <v>31</v>
      </c>
      <c r="E12" t="s">
        <v>37</v>
      </c>
      <c r="F12" t="str">
        <f t="shared" si="0"/>
        <v>F</v>
      </c>
      <c r="G12" t="str">
        <f t="shared" si="3"/>
        <v>T</v>
      </c>
      <c r="H12" t="str">
        <f t="shared" si="1"/>
        <v>F</v>
      </c>
      <c r="I12" t="str">
        <f t="shared" si="4"/>
        <v>F</v>
      </c>
      <c r="J12" t="str">
        <f t="shared" si="5"/>
        <v>T</v>
      </c>
      <c r="K12" t="str">
        <f t="shared" si="6"/>
        <v>T</v>
      </c>
      <c r="L12" t="str">
        <f t="shared" si="7"/>
        <v>F</v>
      </c>
      <c r="M12" t="str">
        <f t="shared" si="8"/>
        <v>F</v>
      </c>
      <c r="N12" s="10" t="s">
        <v>35</v>
      </c>
      <c r="O12" t="str">
        <f t="shared" si="9"/>
        <v>T</v>
      </c>
      <c r="P12" t="str">
        <f t="shared" si="10"/>
        <v>F</v>
      </c>
      <c r="Q12" t="str">
        <f t="shared" si="11"/>
        <v>F</v>
      </c>
      <c r="R12" t="str">
        <f t="shared" si="12"/>
        <v>F</v>
      </c>
      <c r="S12" t="str">
        <f t="shared" si="13"/>
        <v>F</v>
      </c>
      <c r="T12" t="str">
        <f t="shared" si="2"/>
        <v>F</v>
      </c>
      <c r="U12">
        <v>1</v>
      </c>
      <c r="V12">
        <v>4</v>
      </c>
      <c r="W12">
        <v>3</v>
      </c>
    </row>
    <row r="13" spans="1:23" x14ac:dyDescent="0.25">
      <c r="A13" t="s">
        <v>8</v>
      </c>
      <c r="B13" t="s">
        <v>38</v>
      </c>
      <c r="C13" t="s">
        <v>31</v>
      </c>
      <c r="D13" t="s">
        <v>31</v>
      </c>
      <c r="E13" t="s">
        <v>39</v>
      </c>
      <c r="F13" t="str">
        <f t="shared" si="0"/>
        <v>F</v>
      </c>
      <c r="G13" t="str">
        <f t="shared" si="3"/>
        <v>F</v>
      </c>
      <c r="H13" t="str">
        <f t="shared" si="1"/>
        <v>F</v>
      </c>
      <c r="I13" t="str">
        <f t="shared" si="4"/>
        <v>F</v>
      </c>
      <c r="J13" t="str">
        <f t="shared" si="5"/>
        <v>F</v>
      </c>
      <c r="K13" t="str">
        <f t="shared" si="6"/>
        <v>T</v>
      </c>
      <c r="L13" t="str">
        <f t="shared" si="7"/>
        <v>F</v>
      </c>
      <c r="M13" t="str">
        <f t="shared" si="8"/>
        <v>F</v>
      </c>
      <c r="N13" s="10" t="s">
        <v>40</v>
      </c>
      <c r="O13" t="str">
        <f t="shared" si="9"/>
        <v>F</v>
      </c>
      <c r="P13" t="str">
        <f t="shared" si="10"/>
        <v>F</v>
      </c>
      <c r="Q13" t="str">
        <f t="shared" si="11"/>
        <v>T</v>
      </c>
      <c r="R13" t="str">
        <f t="shared" si="12"/>
        <v>F</v>
      </c>
      <c r="S13" t="str">
        <f t="shared" si="13"/>
        <v>F</v>
      </c>
      <c r="T13" t="str">
        <f t="shared" si="2"/>
        <v>F</v>
      </c>
      <c r="U13">
        <v>1</v>
      </c>
      <c r="V13">
        <v>4</v>
      </c>
      <c r="W13">
        <v>3</v>
      </c>
    </row>
    <row r="14" spans="1:23" x14ac:dyDescent="0.25">
      <c r="A14" t="s">
        <v>41</v>
      </c>
      <c r="B14" t="s">
        <v>42</v>
      </c>
      <c r="C14" t="s">
        <v>43</v>
      </c>
      <c r="D14" t="s">
        <v>43</v>
      </c>
      <c r="E14" t="s">
        <v>11</v>
      </c>
      <c r="F14" t="str">
        <f t="shared" si="0"/>
        <v>F</v>
      </c>
      <c r="G14" t="str">
        <f t="shared" si="3"/>
        <v>T</v>
      </c>
      <c r="H14" t="str">
        <f t="shared" si="1"/>
        <v>F</v>
      </c>
      <c r="I14" t="str">
        <f t="shared" si="4"/>
        <v>F</v>
      </c>
      <c r="J14" t="str">
        <f t="shared" si="5"/>
        <v>F</v>
      </c>
      <c r="K14" t="str">
        <f t="shared" si="6"/>
        <v>F</v>
      </c>
      <c r="L14" t="str">
        <f t="shared" si="7"/>
        <v>F</v>
      </c>
      <c r="M14" t="str">
        <f t="shared" si="8"/>
        <v>F</v>
      </c>
      <c r="N14" s="10" t="s">
        <v>44</v>
      </c>
      <c r="O14" t="str">
        <f t="shared" si="9"/>
        <v>F</v>
      </c>
      <c r="P14" t="str">
        <f t="shared" si="10"/>
        <v>T</v>
      </c>
      <c r="Q14" t="str">
        <f t="shared" si="11"/>
        <v>F</v>
      </c>
      <c r="R14" t="str">
        <f t="shared" si="12"/>
        <v>F</v>
      </c>
      <c r="S14" t="str">
        <f t="shared" si="13"/>
        <v>F</v>
      </c>
      <c r="T14" t="str">
        <f t="shared" si="2"/>
        <v>F</v>
      </c>
      <c r="U14">
        <v>4</v>
      </c>
      <c r="V14">
        <v>5</v>
      </c>
      <c r="W14">
        <v>1</v>
      </c>
    </row>
    <row r="15" spans="1:23" x14ac:dyDescent="0.25">
      <c r="A15" t="s">
        <v>41</v>
      </c>
      <c r="B15" t="s">
        <v>45</v>
      </c>
      <c r="C15" t="s">
        <v>43</v>
      </c>
      <c r="D15" t="s">
        <v>43</v>
      </c>
      <c r="E15" t="s">
        <v>19</v>
      </c>
      <c r="F15" t="str">
        <f t="shared" si="0"/>
        <v>T</v>
      </c>
      <c r="G15" t="str">
        <f t="shared" si="3"/>
        <v>F</v>
      </c>
      <c r="H15" t="str">
        <f t="shared" si="1"/>
        <v>F</v>
      </c>
      <c r="I15" t="str">
        <f t="shared" si="4"/>
        <v>F</v>
      </c>
      <c r="J15" t="str">
        <f t="shared" si="5"/>
        <v>F</v>
      </c>
      <c r="K15" t="str">
        <f t="shared" si="6"/>
        <v>F</v>
      </c>
      <c r="L15" t="str">
        <f t="shared" si="7"/>
        <v>F</v>
      </c>
      <c r="M15" t="str">
        <f t="shared" si="8"/>
        <v>F</v>
      </c>
      <c r="N15" s="10" t="s">
        <v>44</v>
      </c>
      <c r="O15" t="str">
        <f t="shared" si="9"/>
        <v>F</v>
      </c>
      <c r="P15" t="str">
        <f t="shared" si="10"/>
        <v>T</v>
      </c>
      <c r="Q15" t="str">
        <f t="shared" si="11"/>
        <v>F</v>
      </c>
      <c r="R15" t="str">
        <f t="shared" si="12"/>
        <v>F</v>
      </c>
      <c r="S15" t="str">
        <f t="shared" si="13"/>
        <v>F</v>
      </c>
      <c r="T15" t="str">
        <f t="shared" si="2"/>
        <v>F</v>
      </c>
      <c r="U15">
        <v>1</v>
      </c>
      <c r="V15">
        <v>3</v>
      </c>
      <c r="W15">
        <v>2</v>
      </c>
    </row>
    <row r="16" spans="1:23" x14ac:dyDescent="0.25">
      <c r="A16" t="s">
        <v>41</v>
      </c>
      <c r="B16" t="s">
        <v>46</v>
      </c>
      <c r="C16" t="s">
        <v>43</v>
      </c>
      <c r="D16" t="s">
        <v>43</v>
      </c>
      <c r="E16" t="s">
        <v>47</v>
      </c>
      <c r="F16" t="str">
        <f t="shared" si="0"/>
        <v>F</v>
      </c>
      <c r="G16" t="str">
        <f t="shared" si="3"/>
        <v>F</v>
      </c>
      <c r="H16" t="str">
        <f t="shared" si="1"/>
        <v>T</v>
      </c>
      <c r="I16" t="str">
        <f t="shared" si="4"/>
        <v>T</v>
      </c>
      <c r="J16" t="str">
        <f t="shared" si="5"/>
        <v>F</v>
      </c>
      <c r="K16" t="str">
        <f t="shared" si="6"/>
        <v>F</v>
      </c>
      <c r="L16" t="str">
        <f t="shared" si="7"/>
        <v>F</v>
      </c>
      <c r="M16" t="str">
        <f t="shared" si="8"/>
        <v>F</v>
      </c>
      <c r="N16" s="10" t="s">
        <v>28</v>
      </c>
      <c r="O16" t="str">
        <f t="shared" si="9"/>
        <v>T</v>
      </c>
      <c r="P16" t="str">
        <f t="shared" si="10"/>
        <v>F</v>
      </c>
      <c r="Q16" t="str">
        <f t="shared" si="11"/>
        <v>T</v>
      </c>
      <c r="R16" t="str">
        <f t="shared" si="12"/>
        <v>F</v>
      </c>
      <c r="S16" t="str">
        <f t="shared" si="13"/>
        <v>F</v>
      </c>
      <c r="T16" t="str">
        <f t="shared" si="2"/>
        <v>F</v>
      </c>
      <c r="U16">
        <v>2</v>
      </c>
      <c r="V16">
        <v>2</v>
      </c>
      <c r="W16">
        <v>0</v>
      </c>
    </row>
    <row r="17" spans="1:23" x14ac:dyDescent="0.25">
      <c r="A17" t="s">
        <v>41</v>
      </c>
      <c r="B17" t="s">
        <v>48</v>
      </c>
      <c r="C17" t="s">
        <v>43</v>
      </c>
      <c r="D17" t="s">
        <v>43</v>
      </c>
      <c r="E17" s="9" t="s">
        <v>49</v>
      </c>
      <c r="F17" t="str">
        <f t="shared" si="0"/>
        <v>T</v>
      </c>
      <c r="G17" t="str">
        <f t="shared" si="3"/>
        <v>F</v>
      </c>
      <c r="H17" t="str">
        <f t="shared" si="1"/>
        <v>F</v>
      </c>
      <c r="I17" t="str">
        <f t="shared" si="4"/>
        <v>T</v>
      </c>
      <c r="J17" t="str">
        <f t="shared" si="5"/>
        <v>F</v>
      </c>
      <c r="K17" t="str">
        <f t="shared" si="6"/>
        <v>F</v>
      </c>
      <c r="L17" t="str">
        <f t="shared" si="7"/>
        <v>F</v>
      </c>
      <c r="M17" t="str">
        <f t="shared" si="8"/>
        <v>F</v>
      </c>
      <c r="N17" s="10" t="s">
        <v>50</v>
      </c>
      <c r="O17" t="str">
        <f t="shared" si="9"/>
        <v>T</v>
      </c>
      <c r="P17" t="str">
        <f t="shared" si="10"/>
        <v>T</v>
      </c>
      <c r="Q17" t="str">
        <f t="shared" si="11"/>
        <v>T</v>
      </c>
      <c r="R17" t="str">
        <f t="shared" si="12"/>
        <v>F</v>
      </c>
      <c r="S17" t="str">
        <f t="shared" si="13"/>
        <v>F</v>
      </c>
      <c r="T17" t="str">
        <f t="shared" si="2"/>
        <v>F</v>
      </c>
      <c r="U17">
        <v>1</v>
      </c>
      <c r="V17">
        <v>2</v>
      </c>
      <c r="W17">
        <v>1</v>
      </c>
    </row>
    <row r="18" spans="1:23" x14ac:dyDescent="0.25">
      <c r="A18" t="s">
        <v>41</v>
      </c>
      <c r="B18" t="s">
        <v>51</v>
      </c>
      <c r="C18" t="s">
        <v>43</v>
      </c>
      <c r="D18" t="s">
        <v>43</v>
      </c>
      <c r="E18" t="s">
        <v>11</v>
      </c>
      <c r="F18" t="str">
        <f t="shared" si="0"/>
        <v>F</v>
      </c>
      <c r="G18" t="str">
        <f t="shared" si="3"/>
        <v>T</v>
      </c>
      <c r="H18" t="str">
        <f t="shared" si="1"/>
        <v>F</v>
      </c>
      <c r="I18" t="str">
        <f t="shared" si="4"/>
        <v>F</v>
      </c>
      <c r="J18" t="str">
        <f t="shared" si="5"/>
        <v>F</v>
      </c>
      <c r="K18" t="str">
        <f t="shared" si="6"/>
        <v>F</v>
      </c>
      <c r="L18" t="str">
        <f t="shared" si="7"/>
        <v>F</v>
      </c>
      <c r="M18" t="str">
        <f t="shared" si="8"/>
        <v>F</v>
      </c>
      <c r="N18" s="10" t="s">
        <v>52</v>
      </c>
      <c r="O18" t="str">
        <f t="shared" si="9"/>
        <v>F</v>
      </c>
      <c r="P18" t="str">
        <f t="shared" si="10"/>
        <v>T</v>
      </c>
      <c r="Q18" t="str">
        <f t="shared" si="11"/>
        <v>T</v>
      </c>
      <c r="R18" t="str">
        <f t="shared" si="12"/>
        <v>F</v>
      </c>
      <c r="S18" t="str">
        <f t="shared" si="13"/>
        <v>F</v>
      </c>
      <c r="T18" t="str">
        <f t="shared" si="2"/>
        <v>F</v>
      </c>
      <c r="U18">
        <v>1</v>
      </c>
      <c r="V18">
        <v>1</v>
      </c>
      <c r="W18">
        <v>0</v>
      </c>
    </row>
    <row r="19" spans="1:23" x14ac:dyDescent="0.25">
      <c r="A19" t="s">
        <v>41</v>
      </c>
      <c r="B19" t="s">
        <v>53</v>
      </c>
      <c r="C19" t="s">
        <v>43</v>
      </c>
      <c r="D19" t="s">
        <v>43</v>
      </c>
      <c r="E19" t="s">
        <v>54</v>
      </c>
      <c r="F19" t="str">
        <f t="shared" si="0"/>
        <v>F</v>
      </c>
      <c r="G19" t="str">
        <f t="shared" si="3"/>
        <v>F</v>
      </c>
      <c r="H19" t="str">
        <f t="shared" si="1"/>
        <v>F</v>
      </c>
      <c r="I19" t="str">
        <f t="shared" si="4"/>
        <v>F</v>
      </c>
      <c r="J19" t="str">
        <f t="shared" si="5"/>
        <v>T</v>
      </c>
      <c r="K19" t="str">
        <f t="shared" si="6"/>
        <v>T</v>
      </c>
      <c r="L19" t="str">
        <f t="shared" si="7"/>
        <v>F</v>
      </c>
      <c r="M19" t="str">
        <f t="shared" si="8"/>
        <v>F</v>
      </c>
      <c r="N19" s="10" t="s">
        <v>52</v>
      </c>
      <c r="O19" t="str">
        <f t="shared" si="9"/>
        <v>F</v>
      </c>
      <c r="P19" t="str">
        <f t="shared" si="10"/>
        <v>T</v>
      </c>
      <c r="Q19" t="str">
        <f t="shared" si="11"/>
        <v>T</v>
      </c>
      <c r="R19" t="str">
        <f t="shared" si="12"/>
        <v>F</v>
      </c>
      <c r="S19" t="str">
        <f t="shared" si="13"/>
        <v>F</v>
      </c>
      <c r="T19" t="str">
        <f t="shared" si="2"/>
        <v>F</v>
      </c>
      <c r="U19">
        <v>1.5</v>
      </c>
      <c r="V19">
        <v>1.5</v>
      </c>
      <c r="W19">
        <v>0</v>
      </c>
    </row>
    <row r="20" spans="1:23" x14ac:dyDescent="0.25">
      <c r="A20" t="s">
        <v>41</v>
      </c>
      <c r="B20" t="s">
        <v>55</v>
      </c>
      <c r="C20" t="s">
        <v>43</v>
      </c>
      <c r="D20" t="s">
        <v>43</v>
      </c>
      <c r="E20" t="s">
        <v>14</v>
      </c>
      <c r="F20" t="str">
        <f t="shared" si="0"/>
        <v>T</v>
      </c>
      <c r="G20" t="str">
        <f t="shared" si="3"/>
        <v>T</v>
      </c>
      <c r="H20" t="str">
        <f t="shared" si="1"/>
        <v>F</v>
      </c>
      <c r="I20" t="str">
        <f t="shared" si="4"/>
        <v>F</v>
      </c>
      <c r="J20" t="str">
        <f t="shared" si="5"/>
        <v>F</v>
      </c>
      <c r="K20" t="str">
        <f t="shared" si="6"/>
        <v>F</v>
      </c>
      <c r="L20" t="str">
        <f t="shared" si="7"/>
        <v>F</v>
      </c>
      <c r="M20" t="str">
        <f t="shared" si="8"/>
        <v>F</v>
      </c>
      <c r="N20" s="10" t="s">
        <v>56</v>
      </c>
      <c r="O20" t="str">
        <f t="shared" si="9"/>
        <v>T</v>
      </c>
      <c r="P20" t="str">
        <f t="shared" si="10"/>
        <v>T</v>
      </c>
      <c r="Q20" t="str">
        <f t="shared" si="11"/>
        <v>T</v>
      </c>
      <c r="R20" t="str">
        <f t="shared" si="12"/>
        <v>F</v>
      </c>
      <c r="S20" t="str">
        <f t="shared" si="13"/>
        <v>F</v>
      </c>
      <c r="T20" t="str">
        <f t="shared" si="2"/>
        <v>F</v>
      </c>
      <c r="U20">
        <v>1.5</v>
      </c>
      <c r="V20">
        <v>1</v>
      </c>
      <c r="W20">
        <v>-0.5</v>
      </c>
    </row>
    <row r="21" spans="1:23" x14ac:dyDescent="0.25">
      <c r="A21" t="s">
        <v>41</v>
      </c>
      <c r="B21" t="s">
        <v>57</v>
      </c>
      <c r="C21" t="s">
        <v>43</v>
      </c>
      <c r="D21" t="s">
        <v>43</v>
      </c>
      <c r="E21" t="s">
        <v>19</v>
      </c>
      <c r="F21" t="str">
        <f t="shared" si="0"/>
        <v>T</v>
      </c>
      <c r="G21" t="str">
        <f t="shared" si="3"/>
        <v>F</v>
      </c>
      <c r="H21" t="str">
        <f t="shared" si="1"/>
        <v>F</v>
      </c>
      <c r="I21" t="str">
        <f t="shared" si="4"/>
        <v>F</v>
      </c>
      <c r="J21" t="str">
        <f t="shared" si="5"/>
        <v>F</v>
      </c>
      <c r="K21" t="str">
        <f t="shared" si="6"/>
        <v>F</v>
      </c>
      <c r="L21" t="str">
        <f t="shared" si="7"/>
        <v>F</v>
      </c>
      <c r="M21" t="str">
        <f t="shared" si="8"/>
        <v>F</v>
      </c>
      <c r="N21" s="10" t="s">
        <v>58</v>
      </c>
      <c r="O21" t="str">
        <f t="shared" si="9"/>
        <v>F</v>
      </c>
      <c r="P21" t="str">
        <f t="shared" si="10"/>
        <v>T</v>
      </c>
      <c r="Q21" t="str">
        <f t="shared" si="11"/>
        <v>F</v>
      </c>
      <c r="R21" t="str">
        <f t="shared" si="12"/>
        <v>F</v>
      </c>
      <c r="S21" t="str">
        <f t="shared" si="13"/>
        <v>T</v>
      </c>
      <c r="T21" t="str">
        <f t="shared" si="2"/>
        <v>F</v>
      </c>
      <c r="U21">
        <v>1</v>
      </c>
      <c r="V21">
        <v>1</v>
      </c>
      <c r="W21">
        <v>0</v>
      </c>
    </row>
    <row r="22" spans="1:23" x14ac:dyDescent="0.25">
      <c r="A22" t="s">
        <v>41</v>
      </c>
      <c r="B22" t="s">
        <v>59</v>
      </c>
      <c r="C22" t="s">
        <v>43</v>
      </c>
      <c r="D22" t="s">
        <v>43</v>
      </c>
      <c r="E22" t="s">
        <v>19</v>
      </c>
      <c r="F22" t="str">
        <f t="shared" si="0"/>
        <v>T</v>
      </c>
      <c r="G22" t="str">
        <f t="shared" si="3"/>
        <v>F</v>
      </c>
      <c r="H22" t="str">
        <f t="shared" si="1"/>
        <v>F</v>
      </c>
      <c r="I22" t="str">
        <f t="shared" si="4"/>
        <v>F</v>
      </c>
      <c r="J22" t="str">
        <f t="shared" si="5"/>
        <v>F</v>
      </c>
      <c r="K22" t="str">
        <f t="shared" si="6"/>
        <v>F</v>
      </c>
      <c r="L22" t="str">
        <f t="shared" si="7"/>
        <v>F</v>
      </c>
      <c r="M22" t="str">
        <f t="shared" si="8"/>
        <v>F</v>
      </c>
      <c r="N22" s="10" t="s">
        <v>35</v>
      </c>
      <c r="O22" t="str">
        <f t="shared" si="9"/>
        <v>T</v>
      </c>
      <c r="P22" t="str">
        <f t="shared" si="10"/>
        <v>F</v>
      </c>
      <c r="Q22" t="str">
        <f t="shared" si="11"/>
        <v>F</v>
      </c>
      <c r="R22" t="str">
        <f t="shared" si="12"/>
        <v>F</v>
      </c>
      <c r="S22" t="str">
        <f t="shared" si="13"/>
        <v>F</v>
      </c>
      <c r="T22" t="str">
        <f t="shared" si="2"/>
        <v>F</v>
      </c>
      <c r="U22">
        <v>2</v>
      </c>
      <c r="V22">
        <v>5</v>
      </c>
      <c r="W22">
        <v>3</v>
      </c>
    </row>
    <row r="23" spans="1:23" x14ac:dyDescent="0.25">
      <c r="A23" t="s">
        <v>41</v>
      </c>
      <c r="B23" t="s">
        <v>60</v>
      </c>
      <c r="C23" t="s">
        <v>43</v>
      </c>
      <c r="D23" t="s">
        <v>43</v>
      </c>
      <c r="E23" t="s">
        <v>11</v>
      </c>
      <c r="F23" t="str">
        <f t="shared" si="0"/>
        <v>F</v>
      </c>
      <c r="G23" t="str">
        <f t="shared" si="3"/>
        <v>T</v>
      </c>
      <c r="H23" t="str">
        <f t="shared" si="1"/>
        <v>F</v>
      </c>
      <c r="I23" t="str">
        <f t="shared" si="4"/>
        <v>F</v>
      </c>
      <c r="J23" t="str">
        <f t="shared" si="5"/>
        <v>F</v>
      </c>
      <c r="K23" t="str">
        <f t="shared" si="6"/>
        <v>F</v>
      </c>
      <c r="L23" t="str">
        <f t="shared" si="7"/>
        <v>F</v>
      </c>
      <c r="M23" t="str">
        <f t="shared" si="8"/>
        <v>F</v>
      </c>
      <c r="N23" s="10" t="s">
        <v>52</v>
      </c>
      <c r="O23" t="str">
        <f t="shared" si="9"/>
        <v>F</v>
      </c>
      <c r="P23" t="str">
        <f t="shared" si="10"/>
        <v>T</v>
      </c>
      <c r="Q23" t="str">
        <f t="shared" si="11"/>
        <v>T</v>
      </c>
      <c r="R23" t="str">
        <f t="shared" si="12"/>
        <v>F</v>
      </c>
      <c r="S23" t="str">
        <f t="shared" si="13"/>
        <v>F</v>
      </c>
      <c r="T23" t="str">
        <f t="shared" si="2"/>
        <v>F</v>
      </c>
      <c r="U23">
        <v>1</v>
      </c>
      <c r="V23">
        <v>2</v>
      </c>
      <c r="W23">
        <v>1</v>
      </c>
    </row>
    <row r="24" spans="1:23" x14ac:dyDescent="0.25">
      <c r="A24" t="s">
        <v>41</v>
      </c>
      <c r="B24" t="s">
        <v>61</v>
      </c>
      <c r="C24" t="s">
        <v>43</v>
      </c>
      <c r="D24" t="s">
        <v>43</v>
      </c>
      <c r="E24" t="s">
        <v>62</v>
      </c>
      <c r="F24" t="str">
        <f t="shared" si="0"/>
        <v>T</v>
      </c>
      <c r="G24" t="str">
        <f t="shared" si="3"/>
        <v>T</v>
      </c>
      <c r="H24" t="str">
        <f t="shared" si="1"/>
        <v>F</v>
      </c>
      <c r="I24" t="str">
        <f t="shared" si="4"/>
        <v>F</v>
      </c>
      <c r="J24" t="str">
        <f t="shared" si="5"/>
        <v>F</v>
      </c>
      <c r="K24" t="str">
        <f t="shared" si="6"/>
        <v>F</v>
      </c>
      <c r="L24" t="str">
        <f t="shared" si="7"/>
        <v>F</v>
      </c>
      <c r="M24" t="str">
        <f t="shared" si="8"/>
        <v>F</v>
      </c>
      <c r="N24" s="10" t="s">
        <v>35</v>
      </c>
      <c r="O24" t="str">
        <f t="shared" si="9"/>
        <v>T</v>
      </c>
      <c r="P24" t="str">
        <f t="shared" si="10"/>
        <v>F</v>
      </c>
      <c r="Q24" t="str">
        <f t="shared" si="11"/>
        <v>F</v>
      </c>
      <c r="R24" t="str">
        <f t="shared" si="12"/>
        <v>F</v>
      </c>
      <c r="S24" t="str">
        <f t="shared" si="13"/>
        <v>F</v>
      </c>
      <c r="T24" t="str">
        <f t="shared" si="2"/>
        <v>F</v>
      </c>
      <c r="U24">
        <v>4</v>
      </c>
      <c r="V24">
        <v>3</v>
      </c>
      <c r="W24">
        <v>-1</v>
      </c>
    </row>
    <row r="25" spans="1:23" x14ac:dyDescent="0.25">
      <c r="A25" t="s">
        <v>41</v>
      </c>
      <c r="B25" t="s">
        <v>63</v>
      </c>
      <c r="C25" t="s">
        <v>43</v>
      </c>
      <c r="D25" t="s">
        <v>43</v>
      </c>
      <c r="E25" t="s">
        <v>64</v>
      </c>
      <c r="F25" t="str">
        <f t="shared" si="0"/>
        <v>F</v>
      </c>
      <c r="G25" t="str">
        <f t="shared" si="3"/>
        <v>F</v>
      </c>
      <c r="H25" t="str">
        <f t="shared" si="1"/>
        <v>F</v>
      </c>
      <c r="I25" t="str">
        <f t="shared" si="4"/>
        <v>F</v>
      </c>
      <c r="J25" t="str">
        <f t="shared" si="5"/>
        <v>F</v>
      </c>
      <c r="K25" t="str">
        <f t="shared" si="6"/>
        <v>F</v>
      </c>
      <c r="L25" t="str">
        <f t="shared" si="7"/>
        <v>F</v>
      </c>
      <c r="M25" t="str">
        <f t="shared" si="8"/>
        <v>T</v>
      </c>
      <c r="N25" s="10" t="s">
        <v>44</v>
      </c>
      <c r="O25" t="str">
        <f t="shared" si="9"/>
        <v>F</v>
      </c>
      <c r="P25" t="str">
        <f t="shared" si="10"/>
        <v>T</v>
      </c>
      <c r="Q25" t="str">
        <f t="shared" si="11"/>
        <v>F</v>
      </c>
      <c r="R25" t="str">
        <f t="shared" si="12"/>
        <v>F</v>
      </c>
      <c r="S25" t="str">
        <f t="shared" si="13"/>
        <v>F</v>
      </c>
      <c r="T25" t="str">
        <f t="shared" si="2"/>
        <v>F</v>
      </c>
      <c r="U25">
        <v>2</v>
      </c>
      <c r="V25">
        <v>2</v>
      </c>
      <c r="W25">
        <v>0</v>
      </c>
    </row>
    <row r="26" spans="1:23" x14ac:dyDescent="0.25">
      <c r="A26" t="s">
        <v>41</v>
      </c>
      <c r="B26" t="s">
        <v>65</v>
      </c>
      <c r="C26" t="s">
        <v>43</v>
      </c>
      <c r="D26" t="s">
        <v>43</v>
      </c>
      <c r="E26" t="s">
        <v>47</v>
      </c>
      <c r="F26" t="str">
        <f t="shared" si="0"/>
        <v>F</v>
      </c>
      <c r="G26" t="str">
        <f t="shared" si="3"/>
        <v>F</v>
      </c>
      <c r="H26" t="str">
        <f t="shared" si="1"/>
        <v>T</v>
      </c>
      <c r="I26" t="str">
        <f t="shared" si="4"/>
        <v>T</v>
      </c>
      <c r="J26" t="str">
        <f t="shared" si="5"/>
        <v>F</v>
      </c>
      <c r="K26" t="str">
        <f t="shared" si="6"/>
        <v>F</v>
      </c>
      <c r="L26" t="str">
        <f t="shared" si="7"/>
        <v>F</v>
      </c>
      <c r="M26" t="str">
        <f t="shared" si="8"/>
        <v>F</v>
      </c>
      <c r="N26" s="10" t="s">
        <v>35</v>
      </c>
      <c r="O26" t="str">
        <f t="shared" si="9"/>
        <v>T</v>
      </c>
      <c r="P26" t="str">
        <f t="shared" si="10"/>
        <v>F</v>
      </c>
      <c r="Q26" t="str">
        <f t="shared" si="11"/>
        <v>F</v>
      </c>
      <c r="R26" t="str">
        <f t="shared" si="12"/>
        <v>F</v>
      </c>
      <c r="S26" t="str">
        <f t="shared" si="13"/>
        <v>F</v>
      </c>
      <c r="T26" t="str">
        <f t="shared" si="2"/>
        <v>F</v>
      </c>
      <c r="U26">
        <v>5</v>
      </c>
      <c r="V26">
        <v>5</v>
      </c>
      <c r="W26">
        <v>0</v>
      </c>
    </row>
    <row r="27" spans="1:23" x14ac:dyDescent="0.25">
      <c r="A27" t="s">
        <v>41</v>
      </c>
      <c r="B27" t="s">
        <v>66</v>
      </c>
      <c r="C27" t="s">
        <v>43</v>
      </c>
      <c r="D27" t="s">
        <v>43</v>
      </c>
      <c r="E27" t="s">
        <v>64</v>
      </c>
      <c r="F27" t="str">
        <f t="shared" si="0"/>
        <v>F</v>
      </c>
      <c r="G27" t="str">
        <f t="shared" si="3"/>
        <v>F</v>
      </c>
      <c r="H27" t="str">
        <f t="shared" si="1"/>
        <v>F</v>
      </c>
      <c r="I27" t="str">
        <f t="shared" si="4"/>
        <v>F</v>
      </c>
      <c r="J27" t="str">
        <f t="shared" si="5"/>
        <v>F</v>
      </c>
      <c r="K27" t="str">
        <f t="shared" si="6"/>
        <v>F</v>
      </c>
      <c r="L27" t="str">
        <f t="shared" si="7"/>
        <v>F</v>
      </c>
      <c r="M27" t="str">
        <f t="shared" si="8"/>
        <v>T</v>
      </c>
      <c r="N27" s="10" t="s">
        <v>28</v>
      </c>
      <c r="O27" t="str">
        <f t="shared" si="9"/>
        <v>T</v>
      </c>
      <c r="P27" t="str">
        <f t="shared" si="10"/>
        <v>F</v>
      </c>
      <c r="Q27" t="str">
        <f t="shared" si="11"/>
        <v>T</v>
      </c>
      <c r="R27" t="str">
        <f t="shared" si="12"/>
        <v>F</v>
      </c>
      <c r="S27" t="str">
        <f t="shared" si="13"/>
        <v>F</v>
      </c>
      <c r="T27" t="str">
        <f t="shared" si="2"/>
        <v>F</v>
      </c>
      <c r="U27">
        <v>4</v>
      </c>
      <c r="V27">
        <v>2</v>
      </c>
      <c r="W27">
        <v>-2</v>
      </c>
    </row>
    <row r="28" spans="1:23" x14ac:dyDescent="0.25">
      <c r="A28" t="s">
        <v>41</v>
      </c>
      <c r="B28" t="s">
        <v>67</v>
      </c>
      <c r="C28" t="s">
        <v>43</v>
      </c>
      <c r="D28" t="s">
        <v>43</v>
      </c>
      <c r="E28" t="s">
        <v>32</v>
      </c>
      <c r="F28" t="str">
        <f t="shared" si="0"/>
        <v>F</v>
      </c>
      <c r="G28" t="str">
        <f t="shared" si="3"/>
        <v>F</v>
      </c>
      <c r="H28" t="str">
        <f t="shared" si="1"/>
        <v>T</v>
      </c>
      <c r="I28" t="str">
        <f t="shared" si="4"/>
        <v>F</v>
      </c>
      <c r="J28" t="str">
        <f t="shared" si="5"/>
        <v>F</v>
      </c>
      <c r="K28" t="str">
        <f t="shared" si="6"/>
        <v>F</v>
      </c>
      <c r="L28" t="str">
        <f t="shared" si="7"/>
        <v>F</v>
      </c>
      <c r="M28" t="str">
        <f t="shared" si="8"/>
        <v>F</v>
      </c>
      <c r="N28" s="10" t="s">
        <v>68</v>
      </c>
      <c r="O28" t="str">
        <f t="shared" si="9"/>
        <v>T</v>
      </c>
      <c r="P28" t="str">
        <f t="shared" si="10"/>
        <v>F</v>
      </c>
      <c r="Q28" t="str">
        <f t="shared" si="11"/>
        <v>T</v>
      </c>
      <c r="R28" t="str">
        <f t="shared" si="12"/>
        <v>F</v>
      </c>
      <c r="S28" t="str">
        <f t="shared" si="13"/>
        <v>T</v>
      </c>
      <c r="T28" t="str">
        <f t="shared" si="2"/>
        <v>F</v>
      </c>
      <c r="U28">
        <v>1</v>
      </c>
      <c r="V28">
        <v>5</v>
      </c>
      <c r="W28">
        <v>4</v>
      </c>
    </row>
    <row r="29" spans="1:23" x14ac:dyDescent="0.25">
      <c r="A29" t="s">
        <v>41</v>
      </c>
      <c r="B29" t="s">
        <v>69</v>
      </c>
      <c r="C29" t="s">
        <v>43</v>
      </c>
      <c r="D29" t="s">
        <v>43</v>
      </c>
      <c r="E29" t="s">
        <v>70</v>
      </c>
      <c r="F29" t="str">
        <f t="shared" si="0"/>
        <v>F</v>
      </c>
      <c r="G29" t="str">
        <f t="shared" si="3"/>
        <v>F</v>
      </c>
      <c r="H29" t="str">
        <f t="shared" si="1"/>
        <v>T</v>
      </c>
      <c r="I29" t="str">
        <f t="shared" si="4"/>
        <v>F</v>
      </c>
      <c r="J29" t="str">
        <f t="shared" si="5"/>
        <v>F</v>
      </c>
      <c r="K29" t="str">
        <f t="shared" si="6"/>
        <v>F</v>
      </c>
      <c r="L29" t="str">
        <f t="shared" si="7"/>
        <v>F</v>
      </c>
      <c r="M29" t="str">
        <f t="shared" si="8"/>
        <v>T</v>
      </c>
      <c r="N29" s="10" t="s">
        <v>71</v>
      </c>
      <c r="O29" t="str">
        <f t="shared" si="9"/>
        <v>F</v>
      </c>
      <c r="P29" t="str">
        <f t="shared" si="10"/>
        <v>F</v>
      </c>
      <c r="Q29" t="str">
        <f t="shared" si="11"/>
        <v>T</v>
      </c>
      <c r="R29" t="str">
        <f t="shared" si="12"/>
        <v>F</v>
      </c>
      <c r="S29" t="str">
        <f t="shared" si="13"/>
        <v>T</v>
      </c>
      <c r="T29" t="str">
        <f t="shared" si="2"/>
        <v>F</v>
      </c>
      <c r="U29">
        <v>2</v>
      </c>
      <c r="V29">
        <v>5</v>
      </c>
      <c r="W29">
        <v>3</v>
      </c>
    </row>
    <row r="30" spans="1:23" x14ac:dyDescent="0.25">
      <c r="A30" t="s">
        <v>41</v>
      </c>
      <c r="B30" t="s">
        <v>72</v>
      </c>
      <c r="C30" t="s">
        <v>43</v>
      </c>
      <c r="D30" t="s">
        <v>43</v>
      </c>
      <c r="E30" t="s">
        <v>19</v>
      </c>
      <c r="F30" t="str">
        <f t="shared" si="0"/>
        <v>T</v>
      </c>
      <c r="G30" t="str">
        <f t="shared" si="3"/>
        <v>F</v>
      </c>
      <c r="H30" t="str">
        <f t="shared" si="1"/>
        <v>F</v>
      </c>
      <c r="I30" t="str">
        <f t="shared" si="4"/>
        <v>F</v>
      </c>
      <c r="J30" t="str">
        <f t="shared" si="5"/>
        <v>F</v>
      </c>
      <c r="K30" t="str">
        <f t="shared" si="6"/>
        <v>F</v>
      </c>
      <c r="L30" t="str">
        <f t="shared" si="7"/>
        <v>F</v>
      </c>
      <c r="M30" t="str">
        <f t="shared" si="8"/>
        <v>F</v>
      </c>
      <c r="N30" s="10" t="s">
        <v>56</v>
      </c>
      <c r="O30" t="str">
        <f t="shared" si="9"/>
        <v>T</v>
      </c>
      <c r="P30" t="str">
        <f t="shared" si="10"/>
        <v>T</v>
      </c>
      <c r="Q30" t="str">
        <f t="shared" si="11"/>
        <v>T</v>
      </c>
      <c r="R30" t="str">
        <f t="shared" si="12"/>
        <v>F</v>
      </c>
      <c r="S30" t="str">
        <f t="shared" si="13"/>
        <v>F</v>
      </c>
      <c r="T30" t="str">
        <f t="shared" si="2"/>
        <v>F</v>
      </c>
      <c r="U30">
        <v>3.5</v>
      </c>
      <c r="V30">
        <v>5</v>
      </c>
      <c r="W30">
        <v>1.5</v>
      </c>
    </row>
    <row r="31" spans="1:23" x14ac:dyDescent="0.25">
      <c r="A31" t="s">
        <v>41</v>
      </c>
      <c r="B31" t="s">
        <v>73</v>
      </c>
      <c r="C31" t="s">
        <v>43</v>
      </c>
      <c r="D31" t="s">
        <v>43</v>
      </c>
      <c r="E31" t="s">
        <v>25</v>
      </c>
      <c r="F31" t="str">
        <f t="shared" si="0"/>
        <v>T</v>
      </c>
      <c r="G31" t="str">
        <f t="shared" si="3"/>
        <v>T</v>
      </c>
      <c r="H31" t="str">
        <f t="shared" si="1"/>
        <v>T</v>
      </c>
      <c r="I31" t="str">
        <f t="shared" si="4"/>
        <v>F</v>
      </c>
      <c r="J31" t="str">
        <f t="shared" si="5"/>
        <v>F</v>
      </c>
      <c r="K31" t="str">
        <f t="shared" si="6"/>
        <v>F</v>
      </c>
      <c r="L31" t="str">
        <f t="shared" si="7"/>
        <v>F</v>
      </c>
      <c r="M31" t="str">
        <f t="shared" si="8"/>
        <v>F</v>
      </c>
      <c r="N31" s="10" t="s">
        <v>23</v>
      </c>
      <c r="O31" t="str">
        <f t="shared" si="9"/>
        <v>T</v>
      </c>
      <c r="P31" t="str">
        <f t="shared" si="10"/>
        <v>F</v>
      </c>
      <c r="Q31" t="str">
        <f t="shared" si="11"/>
        <v>F</v>
      </c>
      <c r="R31" t="str">
        <f t="shared" si="12"/>
        <v>F</v>
      </c>
      <c r="S31" t="str">
        <f t="shared" si="13"/>
        <v>T</v>
      </c>
      <c r="T31" t="str">
        <f t="shared" si="2"/>
        <v>F</v>
      </c>
      <c r="U31">
        <v>1</v>
      </c>
      <c r="V31">
        <v>2</v>
      </c>
      <c r="W31">
        <v>1</v>
      </c>
    </row>
    <row r="32" spans="1:23" x14ac:dyDescent="0.25">
      <c r="A32" t="s">
        <v>41</v>
      </c>
      <c r="B32" t="s">
        <v>74</v>
      </c>
      <c r="C32" t="s">
        <v>43</v>
      </c>
      <c r="D32" t="s">
        <v>43</v>
      </c>
      <c r="E32" t="s">
        <v>25</v>
      </c>
      <c r="F32" t="str">
        <f t="shared" si="0"/>
        <v>T</v>
      </c>
      <c r="G32" t="str">
        <f t="shared" si="3"/>
        <v>T</v>
      </c>
      <c r="H32" t="str">
        <f t="shared" si="1"/>
        <v>T</v>
      </c>
      <c r="I32" t="str">
        <f t="shared" si="4"/>
        <v>F</v>
      </c>
      <c r="J32" t="str">
        <f t="shared" si="5"/>
        <v>F</v>
      </c>
      <c r="K32" t="str">
        <f t="shared" si="6"/>
        <v>F</v>
      </c>
      <c r="L32" t="str">
        <f t="shared" si="7"/>
        <v>F</v>
      </c>
      <c r="M32" t="str">
        <f t="shared" si="8"/>
        <v>F</v>
      </c>
      <c r="N32" s="10" t="s">
        <v>75</v>
      </c>
      <c r="O32" t="str">
        <f t="shared" si="9"/>
        <v>T</v>
      </c>
      <c r="P32" t="str">
        <f t="shared" si="10"/>
        <v>T</v>
      </c>
      <c r="Q32" t="str">
        <f t="shared" si="11"/>
        <v>T</v>
      </c>
      <c r="R32" t="str">
        <f t="shared" si="12"/>
        <v>F</v>
      </c>
      <c r="S32" t="str">
        <f t="shared" si="13"/>
        <v>T</v>
      </c>
      <c r="T32" t="str">
        <f t="shared" si="2"/>
        <v>F</v>
      </c>
      <c r="U32">
        <v>1</v>
      </c>
      <c r="V32">
        <v>2.5</v>
      </c>
      <c r="W32">
        <v>1.5</v>
      </c>
    </row>
    <row r="33" spans="1:23" x14ac:dyDescent="0.25">
      <c r="A33" t="s">
        <v>41</v>
      </c>
      <c r="B33" t="s">
        <v>76</v>
      </c>
      <c r="C33" t="s">
        <v>43</v>
      </c>
      <c r="D33" t="s">
        <v>43</v>
      </c>
      <c r="E33" t="s">
        <v>14</v>
      </c>
      <c r="F33" t="str">
        <f t="shared" si="0"/>
        <v>T</v>
      </c>
      <c r="G33" t="str">
        <f t="shared" si="3"/>
        <v>T</v>
      </c>
      <c r="H33" t="str">
        <f t="shared" si="1"/>
        <v>F</v>
      </c>
      <c r="I33" t="str">
        <f t="shared" si="4"/>
        <v>F</v>
      </c>
      <c r="J33" t="str">
        <f t="shared" si="5"/>
        <v>F</v>
      </c>
      <c r="K33" t="str">
        <f t="shared" si="6"/>
        <v>F</v>
      </c>
      <c r="L33" t="str">
        <f t="shared" si="7"/>
        <v>F</v>
      </c>
      <c r="M33" t="str">
        <f t="shared" si="8"/>
        <v>F</v>
      </c>
      <c r="N33" s="10" t="s">
        <v>77</v>
      </c>
      <c r="O33" t="str">
        <f t="shared" si="9"/>
        <v>F</v>
      </c>
      <c r="P33" t="str">
        <f t="shared" si="10"/>
        <v>T</v>
      </c>
      <c r="Q33" t="str">
        <f t="shared" si="11"/>
        <v>F</v>
      </c>
      <c r="R33" t="str">
        <f t="shared" si="12"/>
        <v>F</v>
      </c>
      <c r="S33" t="str">
        <f t="shared" si="13"/>
        <v>T</v>
      </c>
      <c r="T33" t="str">
        <f t="shared" si="2"/>
        <v>F</v>
      </c>
      <c r="U33">
        <v>1</v>
      </c>
      <c r="V33">
        <v>2</v>
      </c>
      <c r="W33">
        <v>1</v>
      </c>
    </row>
    <row r="34" spans="1:23" x14ac:dyDescent="0.25">
      <c r="A34" t="s">
        <v>41</v>
      </c>
      <c r="B34" t="s">
        <v>78</v>
      </c>
      <c r="C34" t="s">
        <v>43</v>
      </c>
      <c r="D34" t="s">
        <v>43</v>
      </c>
      <c r="E34" t="s">
        <v>11</v>
      </c>
      <c r="F34" t="str">
        <f t="shared" ref="F34:F65" si="14">IF(ISNUMBER(SEARCH("Academic Policies", $E34)), "T", "F")</f>
        <v>F</v>
      </c>
      <c r="G34" t="str">
        <f t="shared" ref="G34:G65" si="15">IF(ISNUMBER(SEARCH("Campus Life", $E34)), "T", "F")</f>
        <v>T</v>
      </c>
      <c r="H34" t="str">
        <f t="shared" ref="H34:H65" si="16">IF(ISNUMBER(SEARCH("Student Government", $E34)), "T", "F")</f>
        <v>F</v>
      </c>
      <c r="I34" t="str">
        <f t="shared" ref="I34:I65" si="17">IF(ISNUMBER(SEARCH("Financial/Administrative Decisions", $E34)), "T", "F")</f>
        <v>F</v>
      </c>
      <c r="J34" t="str">
        <f t="shared" ref="J34:J65" si="18">IF(ISNUMBER(SEARCH("Diversity, Equity &amp; Inclusion", $E34)), "T", "F")</f>
        <v>F</v>
      </c>
      <c r="K34" t="str">
        <f t="shared" ref="K34:K65" si="19">IF(ISNUMBER(SEARCH("Activism/Social Movements", $E34)), "T", "F")</f>
        <v>F</v>
      </c>
      <c r="L34" t="str">
        <f t="shared" ref="L34:L65" si="20">IF(ISNUMBER(SEARCH("Facilities/Infrastructure", $E34)), "T", "F")</f>
        <v>F</v>
      </c>
      <c r="M34" t="str">
        <f t="shared" ref="M34:M65" si="21">IF(ISNUMBER(SEARCH("Faculty/Staff Relations", $E34)), "T", "F")</f>
        <v>F</v>
      </c>
      <c r="N34" s="10" t="s">
        <v>77</v>
      </c>
      <c r="O34" t="str">
        <f t="shared" ref="O34:O65" si="22">IF(ISNUMBER(SEARCH("Student government leaders or members", $N34)), "T", "F")</f>
        <v>F</v>
      </c>
      <c r="P34" t="str">
        <f t="shared" ref="P34:P65" si="23">IF(ISNUMBER(SEARCH("Individual students", $N34)), "T", "F")</f>
        <v>T</v>
      </c>
      <c r="Q34" t="str">
        <f t="shared" ref="Q34:Q65" si="24">IF(ISNUMBER(SEARCH("Student organizations or groups", $N34)), "T", "F")</f>
        <v>F</v>
      </c>
      <c r="R34" t="str">
        <f t="shared" ref="R34:R65" si="25">IF(ISNUMBER(SEARCH("Alumni", $N34)), "T", "F")</f>
        <v>F</v>
      </c>
      <c r="S34" t="str">
        <f t="shared" ref="S34:S65" si="26">IF(ISNUMBER(SEARCH("Administrators", $N34)), "T", "F")</f>
        <v>T</v>
      </c>
      <c r="T34" t="str">
        <f t="shared" ref="T34:T65" si="27">IF(ISNUMBER(SEARCH("Faculty", $N34)), "T", "F")</f>
        <v>F</v>
      </c>
      <c r="U34">
        <v>1</v>
      </c>
      <c r="V34">
        <v>3.5</v>
      </c>
      <c r="W34">
        <v>2.5</v>
      </c>
    </row>
    <row r="35" spans="1:23" x14ac:dyDescent="0.25">
      <c r="A35" t="s">
        <v>41</v>
      </c>
      <c r="B35" t="s">
        <v>79</v>
      </c>
      <c r="C35" t="s">
        <v>43</v>
      </c>
      <c r="D35" t="s">
        <v>43</v>
      </c>
      <c r="E35" t="s">
        <v>19</v>
      </c>
      <c r="F35" t="str">
        <f t="shared" si="14"/>
        <v>T</v>
      </c>
      <c r="G35" t="str">
        <f t="shared" si="15"/>
        <v>F</v>
      </c>
      <c r="H35" t="str">
        <f t="shared" si="16"/>
        <v>F</v>
      </c>
      <c r="I35" t="str">
        <f t="shared" si="17"/>
        <v>F</v>
      </c>
      <c r="J35" t="str">
        <f t="shared" si="18"/>
        <v>F</v>
      </c>
      <c r="K35" t="str">
        <f t="shared" si="19"/>
        <v>F</v>
      </c>
      <c r="L35" t="str">
        <f t="shared" si="20"/>
        <v>F</v>
      </c>
      <c r="M35" t="str">
        <f t="shared" si="21"/>
        <v>F</v>
      </c>
      <c r="N35" s="10" t="s">
        <v>77</v>
      </c>
      <c r="O35" t="str">
        <f t="shared" si="22"/>
        <v>F</v>
      </c>
      <c r="P35" t="str">
        <f t="shared" si="23"/>
        <v>T</v>
      </c>
      <c r="Q35" t="str">
        <f t="shared" si="24"/>
        <v>F</v>
      </c>
      <c r="R35" t="str">
        <f t="shared" si="25"/>
        <v>F</v>
      </c>
      <c r="S35" t="str">
        <f t="shared" si="26"/>
        <v>T</v>
      </c>
      <c r="T35" t="str">
        <f t="shared" si="27"/>
        <v>F</v>
      </c>
      <c r="U35">
        <v>2</v>
      </c>
      <c r="V35">
        <v>3</v>
      </c>
      <c r="W35">
        <v>1</v>
      </c>
    </row>
    <row r="36" spans="1:23" x14ac:dyDescent="0.25">
      <c r="A36" t="s">
        <v>41</v>
      </c>
      <c r="B36" t="s">
        <v>80</v>
      </c>
      <c r="C36" t="s">
        <v>43</v>
      </c>
      <c r="D36" t="s">
        <v>43</v>
      </c>
      <c r="E36" t="s">
        <v>11</v>
      </c>
      <c r="F36" t="str">
        <f t="shared" si="14"/>
        <v>F</v>
      </c>
      <c r="G36" t="str">
        <f t="shared" si="15"/>
        <v>T</v>
      </c>
      <c r="H36" t="str">
        <f t="shared" si="16"/>
        <v>F</v>
      </c>
      <c r="I36" t="str">
        <f t="shared" si="17"/>
        <v>F</v>
      </c>
      <c r="J36" t="str">
        <f t="shared" si="18"/>
        <v>F</v>
      </c>
      <c r="K36" t="str">
        <f t="shared" si="19"/>
        <v>F</v>
      </c>
      <c r="L36" t="str">
        <f t="shared" si="20"/>
        <v>F</v>
      </c>
      <c r="M36" t="str">
        <f t="shared" si="21"/>
        <v>F</v>
      </c>
      <c r="N36" s="10" t="s">
        <v>77</v>
      </c>
      <c r="O36" t="str">
        <f t="shared" si="22"/>
        <v>F</v>
      </c>
      <c r="P36" t="str">
        <f t="shared" si="23"/>
        <v>T</v>
      </c>
      <c r="Q36" t="str">
        <f t="shared" si="24"/>
        <v>F</v>
      </c>
      <c r="R36" t="str">
        <f t="shared" si="25"/>
        <v>F</v>
      </c>
      <c r="S36" t="str">
        <f t="shared" si="26"/>
        <v>T</v>
      </c>
      <c r="T36" t="str">
        <f t="shared" si="27"/>
        <v>F</v>
      </c>
      <c r="U36">
        <v>1</v>
      </c>
      <c r="V36">
        <v>2.5</v>
      </c>
      <c r="W36">
        <v>1.5</v>
      </c>
    </row>
    <row r="37" spans="1:23" x14ac:dyDescent="0.25">
      <c r="A37" t="s">
        <v>41</v>
      </c>
      <c r="B37" t="s">
        <v>81</v>
      </c>
      <c r="C37" t="s">
        <v>43</v>
      </c>
      <c r="D37" t="s">
        <v>43</v>
      </c>
      <c r="E37" t="s">
        <v>25</v>
      </c>
      <c r="F37" t="str">
        <f t="shared" si="14"/>
        <v>T</v>
      </c>
      <c r="G37" t="str">
        <f t="shared" si="15"/>
        <v>T</v>
      </c>
      <c r="H37" t="str">
        <f t="shared" si="16"/>
        <v>T</v>
      </c>
      <c r="I37" t="str">
        <f t="shared" si="17"/>
        <v>F</v>
      </c>
      <c r="J37" t="str">
        <f t="shared" si="18"/>
        <v>F</v>
      </c>
      <c r="K37" t="str">
        <f t="shared" si="19"/>
        <v>F</v>
      </c>
      <c r="L37" t="str">
        <f t="shared" si="20"/>
        <v>F</v>
      </c>
      <c r="M37" t="str">
        <f t="shared" si="21"/>
        <v>F</v>
      </c>
      <c r="N37" s="10" t="s">
        <v>77</v>
      </c>
      <c r="O37" t="str">
        <f t="shared" si="22"/>
        <v>F</v>
      </c>
      <c r="P37" t="str">
        <f t="shared" si="23"/>
        <v>T</v>
      </c>
      <c r="Q37" t="str">
        <f t="shared" si="24"/>
        <v>F</v>
      </c>
      <c r="R37" t="str">
        <f t="shared" si="25"/>
        <v>F</v>
      </c>
      <c r="S37" t="str">
        <f t="shared" si="26"/>
        <v>T</v>
      </c>
      <c r="T37" t="str">
        <f t="shared" si="27"/>
        <v>F</v>
      </c>
      <c r="U37">
        <v>1</v>
      </c>
      <c r="V37">
        <v>1.5</v>
      </c>
      <c r="W37">
        <v>0.5</v>
      </c>
    </row>
    <row r="38" spans="1:23" x14ac:dyDescent="0.25">
      <c r="A38" t="s">
        <v>41</v>
      </c>
      <c r="B38" t="s">
        <v>82</v>
      </c>
      <c r="C38" t="s">
        <v>43</v>
      </c>
      <c r="D38" t="s">
        <v>43</v>
      </c>
      <c r="E38" t="s">
        <v>83</v>
      </c>
      <c r="F38" t="str">
        <f t="shared" si="14"/>
        <v>T</v>
      </c>
      <c r="G38" t="str">
        <f t="shared" si="15"/>
        <v>T</v>
      </c>
      <c r="H38" t="str">
        <f t="shared" si="16"/>
        <v>F</v>
      </c>
      <c r="I38" t="str">
        <f t="shared" si="17"/>
        <v>F</v>
      </c>
      <c r="J38" t="str">
        <f t="shared" si="18"/>
        <v>F</v>
      </c>
      <c r="K38" t="str">
        <f t="shared" si="19"/>
        <v>T</v>
      </c>
      <c r="L38" t="str">
        <f t="shared" si="20"/>
        <v>F</v>
      </c>
      <c r="M38" t="str">
        <f t="shared" si="21"/>
        <v>F</v>
      </c>
      <c r="N38" s="10" t="s">
        <v>77</v>
      </c>
      <c r="O38" t="str">
        <f t="shared" si="22"/>
        <v>F</v>
      </c>
      <c r="P38" t="str">
        <f t="shared" si="23"/>
        <v>T</v>
      </c>
      <c r="Q38" t="str">
        <f t="shared" si="24"/>
        <v>F</v>
      </c>
      <c r="R38" t="str">
        <f t="shared" si="25"/>
        <v>F</v>
      </c>
      <c r="S38" t="str">
        <f t="shared" si="26"/>
        <v>T</v>
      </c>
      <c r="T38" t="str">
        <f t="shared" si="27"/>
        <v>F</v>
      </c>
      <c r="U38">
        <v>1</v>
      </c>
      <c r="V38">
        <v>2</v>
      </c>
      <c r="W38">
        <v>1</v>
      </c>
    </row>
    <row r="39" spans="1:23" x14ac:dyDescent="0.25">
      <c r="A39" t="s">
        <v>41</v>
      </c>
      <c r="B39" t="s">
        <v>84</v>
      </c>
      <c r="C39" t="s">
        <v>43</v>
      </c>
      <c r="D39" t="s">
        <v>43</v>
      </c>
      <c r="E39" t="s">
        <v>11</v>
      </c>
      <c r="F39" t="str">
        <f t="shared" si="14"/>
        <v>F</v>
      </c>
      <c r="G39" t="str">
        <f t="shared" si="15"/>
        <v>T</v>
      </c>
      <c r="H39" t="str">
        <f t="shared" si="16"/>
        <v>F</v>
      </c>
      <c r="I39" t="str">
        <f t="shared" si="17"/>
        <v>F</v>
      </c>
      <c r="J39" t="str">
        <f t="shared" si="18"/>
        <v>F</v>
      </c>
      <c r="K39" t="str">
        <f t="shared" si="19"/>
        <v>F</v>
      </c>
      <c r="L39" t="str">
        <f t="shared" si="20"/>
        <v>F</v>
      </c>
      <c r="M39" t="str">
        <f t="shared" si="21"/>
        <v>F</v>
      </c>
      <c r="N39" s="10" t="s">
        <v>33</v>
      </c>
      <c r="O39" t="str">
        <f t="shared" si="22"/>
        <v>T</v>
      </c>
      <c r="P39" t="str">
        <f t="shared" si="23"/>
        <v>T</v>
      </c>
      <c r="Q39" t="str">
        <f t="shared" si="24"/>
        <v>F</v>
      </c>
      <c r="R39" t="str">
        <f t="shared" si="25"/>
        <v>F</v>
      </c>
      <c r="S39" t="str">
        <f t="shared" si="26"/>
        <v>T</v>
      </c>
      <c r="T39" t="str">
        <f t="shared" si="27"/>
        <v>F</v>
      </c>
      <c r="U39">
        <v>1</v>
      </c>
      <c r="V39">
        <v>1</v>
      </c>
      <c r="W39">
        <v>0</v>
      </c>
    </row>
    <row r="40" spans="1:23" x14ac:dyDescent="0.25">
      <c r="A40" t="s">
        <v>41</v>
      </c>
      <c r="B40" t="s">
        <v>85</v>
      </c>
      <c r="C40" t="s">
        <v>43</v>
      </c>
      <c r="D40" t="s">
        <v>43</v>
      </c>
      <c r="E40" t="s">
        <v>86</v>
      </c>
      <c r="F40" t="str">
        <f t="shared" si="14"/>
        <v>T</v>
      </c>
      <c r="G40" t="str">
        <f t="shared" si="15"/>
        <v>T</v>
      </c>
      <c r="H40" t="str">
        <f t="shared" si="16"/>
        <v>F</v>
      </c>
      <c r="I40" t="str">
        <f t="shared" si="17"/>
        <v>F</v>
      </c>
      <c r="J40" t="str">
        <f t="shared" si="18"/>
        <v>F</v>
      </c>
      <c r="K40" t="str">
        <f t="shared" si="19"/>
        <v>T</v>
      </c>
      <c r="L40" t="str">
        <f t="shared" si="20"/>
        <v>F</v>
      </c>
      <c r="M40" t="str">
        <f t="shared" si="21"/>
        <v>T</v>
      </c>
      <c r="N40" s="10" t="s">
        <v>40</v>
      </c>
      <c r="O40" t="str">
        <f t="shared" si="22"/>
        <v>F</v>
      </c>
      <c r="P40" t="str">
        <f t="shared" si="23"/>
        <v>F</v>
      </c>
      <c r="Q40" t="str">
        <f t="shared" si="24"/>
        <v>T</v>
      </c>
      <c r="R40" t="str">
        <f t="shared" si="25"/>
        <v>F</v>
      </c>
      <c r="S40" t="str">
        <f t="shared" si="26"/>
        <v>F</v>
      </c>
      <c r="T40" t="str">
        <f t="shared" si="27"/>
        <v>F</v>
      </c>
      <c r="U40">
        <v>1</v>
      </c>
      <c r="V40">
        <v>2</v>
      </c>
      <c r="W40">
        <v>1</v>
      </c>
    </row>
    <row r="41" spans="1:23" x14ac:dyDescent="0.25">
      <c r="A41" t="s">
        <v>41</v>
      </c>
      <c r="B41" t="s">
        <v>87</v>
      </c>
      <c r="C41" t="s">
        <v>43</v>
      </c>
      <c r="D41" t="s">
        <v>43</v>
      </c>
      <c r="E41" t="s">
        <v>32</v>
      </c>
      <c r="F41" t="str">
        <f t="shared" si="14"/>
        <v>F</v>
      </c>
      <c r="G41" t="str">
        <f t="shared" si="15"/>
        <v>F</v>
      </c>
      <c r="H41" t="str">
        <f t="shared" si="16"/>
        <v>T</v>
      </c>
      <c r="I41" t="str">
        <f t="shared" si="17"/>
        <v>F</v>
      </c>
      <c r="J41" t="str">
        <f t="shared" si="18"/>
        <v>F</v>
      </c>
      <c r="K41" t="str">
        <f t="shared" si="19"/>
        <v>F</v>
      </c>
      <c r="L41" t="str">
        <f t="shared" si="20"/>
        <v>F</v>
      </c>
      <c r="M41" t="str">
        <f t="shared" si="21"/>
        <v>F</v>
      </c>
      <c r="N41" s="10" t="s">
        <v>88</v>
      </c>
      <c r="O41" t="str">
        <f t="shared" si="22"/>
        <v>T</v>
      </c>
      <c r="P41" t="str">
        <f t="shared" si="23"/>
        <v>T</v>
      </c>
      <c r="Q41" t="str">
        <f t="shared" si="24"/>
        <v>F</v>
      </c>
      <c r="R41" t="str">
        <f t="shared" si="25"/>
        <v>F</v>
      </c>
      <c r="S41" t="str">
        <f t="shared" si="26"/>
        <v>F</v>
      </c>
      <c r="T41" t="str">
        <f t="shared" si="27"/>
        <v>F</v>
      </c>
      <c r="U41">
        <v>1</v>
      </c>
      <c r="V41">
        <v>2</v>
      </c>
      <c r="W41">
        <v>1</v>
      </c>
    </row>
    <row r="42" spans="1:23" x14ac:dyDescent="0.25">
      <c r="A42" t="s">
        <v>41</v>
      </c>
      <c r="B42" t="s">
        <v>89</v>
      </c>
      <c r="C42" t="s">
        <v>43</v>
      </c>
      <c r="D42" t="s">
        <v>43</v>
      </c>
      <c r="E42" t="s">
        <v>11</v>
      </c>
      <c r="F42" t="str">
        <f t="shared" si="14"/>
        <v>F</v>
      </c>
      <c r="G42" t="str">
        <f t="shared" si="15"/>
        <v>T</v>
      </c>
      <c r="H42" t="str">
        <f t="shared" si="16"/>
        <v>F</v>
      </c>
      <c r="I42" t="str">
        <f t="shared" si="17"/>
        <v>F</v>
      </c>
      <c r="J42" t="str">
        <f t="shared" si="18"/>
        <v>F</v>
      </c>
      <c r="K42" t="str">
        <f t="shared" si="19"/>
        <v>F</v>
      </c>
      <c r="L42" t="str">
        <f t="shared" si="20"/>
        <v>F</v>
      </c>
      <c r="M42" t="str">
        <f t="shared" si="21"/>
        <v>F</v>
      </c>
      <c r="N42" s="10" t="s">
        <v>77</v>
      </c>
      <c r="O42" t="str">
        <f t="shared" si="22"/>
        <v>F</v>
      </c>
      <c r="P42" t="str">
        <f t="shared" si="23"/>
        <v>T</v>
      </c>
      <c r="Q42" t="str">
        <f t="shared" si="24"/>
        <v>F</v>
      </c>
      <c r="R42" t="str">
        <f t="shared" si="25"/>
        <v>F</v>
      </c>
      <c r="S42" t="str">
        <f t="shared" si="26"/>
        <v>T</v>
      </c>
      <c r="T42" t="str">
        <f t="shared" si="27"/>
        <v>F</v>
      </c>
      <c r="U42">
        <v>1</v>
      </c>
      <c r="V42">
        <v>2</v>
      </c>
      <c r="W42">
        <v>1</v>
      </c>
    </row>
    <row r="43" spans="1:23" x14ac:dyDescent="0.25">
      <c r="A43" t="s">
        <v>41</v>
      </c>
      <c r="B43" t="s">
        <v>90</v>
      </c>
      <c r="C43" t="s">
        <v>43</v>
      </c>
      <c r="D43" t="s">
        <v>43</v>
      </c>
      <c r="E43" t="s">
        <v>19</v>
      </c>
      <c r="F43" t="str">
        <f t="shared" si="14"/>
        <v>T</v>
      </c>
      <c r="G43" t="str">
        <f t="shared" si="15"/>
        <v>F</v>
      </c>
      <c r="H43" t="str">
        <f t="shared" si="16"/>
        <v>F</v>
      </c>
      <c r="I43" t="str">
        <f t="shared" si="17"/>
        <v>F</v>
      </c>
      <c r="J43" t="str">
        <f t="shared" si="18"/>
        <v>F</v>
      </c>
      <c r="K43" t="str">
        <f t="shared" si="19"/>
        <v>F</v>
      </c>
      <c r="L43" t="str">
        <f t="shared" si="20"/>
        <v>F</v>
      </c>
      <c r="M43" t="str">
        <f t="shared" si="21"/>
        <v>F</v>
      </c>
      <c r="N43" s="10" t="s">
        <v>91</v>
      </c>
      <c r="O43" t="str">
        <f t="shared" si="22"/>
        <v>F</v>
      </c>
      <c r="P43" t="str">
        <f t="shared" si="23"/>
        <v>T</v>
      </c>
      <c r="Q43" t="str">
        <f t="shared" si="24"/>
        <v>F</v>
      </c>
      <c r="R43" t="str">
        <f t="shared" si="25"/>
        <v>F</v>
      </c>
      <c r="S43" t="str">
        <f t="shared" si="26"/>
        <v>T</v>
      </c>
      <c r="T43" t="str">
        <f t="shared" si="27"/>
        <v>T</v>
      </c>
      <c r="U43">
        <v>1</v>
      </c>
      <c r="V43">
        <v>2</v>
      </c>
      <c r="W43">
        <v>1</v>
      </c>
    </row>
    <row r="44" spans="1:23" x14ac:dyDescent="0.25">
      <c r="A44" t="s">
        <v>41</v>
      </c>
      <c r="B44" t="s">
        <v>92</v>
      </c>
      <c r="C44" t="s">
        <v>43</v>
      </c>
      <c r="D44" t="s">
        <v>43</v>
      </c>
      <c r="E44" t="s">
        <v>19</v>
      </c>
      <c r="F44" t="str">
        <f t="shared" si="14"/>
        <v>T</v>
      </c>
      <c r="G44" t="str">
        <f t="shared" si="15"/>
        <v>F</v>
      </c>
      <c r="H44" t="str">
        <f t="shared" si="16"/>
        <v>F</v>
      </c>
      <c r="I44" t="str">
        <f t="shared" si="17"/>
        <v>F</v>
      </c>
      <c r="J44" t="str">
        <f t="shared" si="18"/>
        <v>F</v>
      </c>
      <c r="K44" t="str">
        <f t="shared" si="19"/>
        <v>F</v>
      </c>
      <c r="L44" t="str">
        <f t="shared" si="20"/>
        <v>F</v>
      </c>
      <c r="M44" t="str">
        <f t="shared" si="21"/>
        <v>F</v>
      </c>
      <c r="N44" s="10" t="s">
        <v>93</v>
      </c>
      <c r="O44" t="str">
        <f t="shared" si="22"/>
        <v>F</v>
      </c>
      <c r="P44" t="str">
        <f t="shared" si="23"/>
        <v>F</v>
      </c>
      <c r="Q44" t="str">
        <f t="shared" si="24"/>
        <v>F</v>
      </c>
      <c r="R44" t="str">
        <f t="shared" si="25"/>
        <v>F</v>
      </c>
      <c r="S44" t="str">
        <f t="shared" si="26"/>
        <v>T</v>
      </c>
      <c r="T44" t="str">
        <f t="shared" si="27"/>
        <v>F</v>
      </c>
      <c r="U44">
        <v>1</v>
      </c>
      <c r="V44">
        <v>2</v>
      </c>
      <c r="W44">
        <v>1</v>
      </c>
    </row>
    <row r="45" spans="1:23" x14ac:dyDescent="0.25">
      <c r="A45" t="s">
        <v>41</v>
      </c>
      <c r="B45" t="s">
        <v>94</v>
      </c>
      <c r="C45" t="s">
        <v>43</v>
      </c>
      <c r="D45" t="s">
        <v>43</v>
      </c>
      <c r="E45" t="s">
        <v>32</v>
      </c>
      <c r="F45" t="str">
        <f t="shared" si="14"/>
        <v>F</v>
      </c>
      <c r="G45" t="str">
        <f t="shared" si="15"/>
        <v>F</v>
      </c>
      <c r="H45" t="str">
        <f t="shared" si="16"/>
        <v>T</v>
      </c>
      <c r="I45" t="str">
        <f t="shared" si="17"/>
        <v>F</v>
      </c>
      <c r="J45" t="str">
        <f t="shared" si="18"/>
        <v>F</v>
      </c>
      <c r="K45" t="str">
        <f t="shared" si="19"/>
        <v>F</v>
      </c>
      <c r="L45" t="str">
        <f t="shared" si="20"/>
        <v>F</v>
      </c>
      <c r="M45" t="str">
        <f t="shared" si="21"/>
        <v>F</v>
      </c>
      <c r="N45" s="10" t="s">
        <v>88</v>
      </c>
      <c r="O45" t="str">
        <f t="shared" si="22"/>
        <v>T</v>
      </c>
      <c r="P45" t="str">
        <f t="shared" si="23"/>
        <v>T</v>
      </c>
      <c r="Q45" t="str">
        <f t="shared" si="24"/>
        <v>F</v>
      </c>
      <c r="R45" t="str">
        <f t="shared" si="25"/>
        <v>F</v>
      </c>
      <c r="S45" t="str">
        <f t="shared" si="26"/>
        <v>F</v>
      </c>
      <c r="T45" t="str">
        <f t="shared" si="27"/>
        <v>F</v>
      </c>
      <c r="U45">
        <v>1</v>
      </c>
      <c r="V45">
        <v>5</v>
      </c>
      <c r="W45">
        <v>4</v>
      </c>
    </row>
    <row r="46" spans="1:23" x14ac:dyDescent="0.25">
      <c r="A46" t="s">
        <v>41</v>
      </c>
      <c r="B46" t="s">
        <v>95</v>
      </c>
      <c r="C46" t="s">
        <v>43</v>
      </c>
      <c r="D46" t="s">
        <v>43</v>
      </c>
      <c r="E46" t="s">
        <v>96</v>
      </c>
      <c r="F46" t="str">
        <f t="shared" si="14"/>
        <v>F</v>
      </c>
      <c r="G46" t="str">
        <f t="shared" si="15"/>
        <v>F</v>
      </c>
      <c r="H46" t="str">
        <f t="shared" si="16"/>
        <v>F</v>
      </c>
      <c r="I46" t="str">
        <f t="shared" si="17"/>
        <v>F</v>
      </c>
      <c r="J46" t="str">
        <f t="shared" si="18"/>
        <v>F</v>
      </c>
      <c r="K46" t="str">
        <f t="shared" si="19"/>
        <v>F</v>
      </c>
      <c r="L46" t="str">
        <f t="shared" si="20"/>
        <v>T</v>
      </c>
      <c r="M46" t="str">
        <f t="shared" si="21"/>
        <v>F</v>
      </c>
      <c r="N46" s="10" t="s">
        <v>44</v>
      </c>
      <c r="O46" t="str">
        <f t="shared" si="22"/>
        <v>F</v>
      </c>
      <c r="P46" t="str">
        <f t="shared" si="23"/>
        <v>T</v>
      </c>
      <c r="Q46" t="str">
        <f t="shared" si="24"/>
        <v>F</v>
      </c>
      <c r="R46" t="str">
        <f t="shared" si="25"/>
        <v>F</v>
      </c>
      <c r="S46" t="str">
        <f t="shared" si="26"/>
        <v>F</v>
      </c>
      <c r="T46" t="str">
        <f t="shared" si="27"/>
        <v>F</v>
      </c>
      <c r="U46">
        <v>1</v>
      </c>
      <c r="V46">
        <v>2</v>
      </c>
      <c r="W46">
        <v>1</v>
      </c>
    </row>
    <row r="47" spans="1:23" x14ac:dyDescent="0.25">
      <c r="A47" t="s">
        <v>41</v>
      </c>
      <c r="B47" t="s">
        <v>97</v>
      </c>
      <c r="C47" t="s">
        <v>43</v>
      </c>
      <c r="D47" t="s">
        <v>43</v>
      </c>
      <c r="E47" t="s">
        <v>19</v>
      </c>
      <c r="F47" t="str">
        <f t="shared" si="14"/>
        <v>T</v>
      </c>
      <c r="G47" t="str">
        <f t="shared" si="15"/>
        <v>F</v>
      </c>
      <c r="H47" t="str">
        <f t="shared" si="16"/>
        <v>F</v>
      </c>
      <c r="I47" t="str">
        <f t="shared" si="17"/>
        <v>F</v>
      </c>
      <c r="J47" t="str">
        <f t="shared" si="18"/>
        <v>F</v>
      </c>
      <c r="K47" t="str">
        <f t="shared" si="19"/>
        <v>F</v>
      </c>
      <c r="L47" t="str">
        <f t="shared" si="20"/>
        <v>F</v>
      </c>
      <c r="M47" t="str">
        <f t="shared" si="21"/>
        <v>F</v>
      </c>
      <c r="N47" s="10" t="s">
        <v>98</v>
      </c>
      <c r="O47" t="str">
        <f t="shared" si="22"/>
        <v>T</v>
      </c>
      <c r="P47" t="str">
        <f t="shared" si="23"/>
        <v>T</v>
      </c>
      <c r="Q47" t="str">
        <f t="shared" si="24"/>
        <v>F</v>
      </c>
      <c r="R47" t="str">
        <f t="shared" si="25"/>
        <v>F</v>
      </c>
      <c r="S47" t="str">
        <f t="shared" si="26"/>
        <v>F</v>
      </c>
      <c r="T47" t="str">
        <f t="shared" si="27"/>
        <v>T</v>
      </c>
      <c r="U47">
        <v>5</v>
      </c>
      <c r="V47">
        <v>3</v>
      </c>
      <c r="W47">
        <v>2</v>
      </c>
    </row>
    <row r="48" spans="1:23" x14ac:dyDescent="0.25">
      <c r="A48" t="s">
        <v>41</v>
      </c>
      <c r="B48" t="s">
        <v>99</v>
      </c>
      <c r="C48" t="s">
        <v>43</v>
      </c>
      <c r="D48" t="s">
        <v>43</v>
      </c>
      <c r="E48" t="s">
        <v>19</v>
      </c>
      <c r="F48" t="str">
        <f t="shared" si="14"/>
        <v>T</v>
      </c>
      <c r="G48" t="str">
        <f t="shared" si="15"/>
        <v>F</v>
      </c>
      <c r="H48" t="str">
        <f t="shared" si="16"/>
        <v>F</v>
      </c>
      <c r="I48" t="str">
        <f t="shared" si="17"/>
        <v>F</v>
      </c>
      <c r="J48" t="str">
        <f t="shared" si="18"/>
        <v>F</v>
      </c>
      <c r="K48" t="str">
        <f t="shared" si="19"/>
        <v>F</v>
      </c>
      <c r="L48" t="str">
        <f t="shared" si="20"/>
        <v>F</v>
      </c>
      <c r="M48" t="str">
        <f t="shared" si="21"/>
        <v>F</v>
      </c>
      <c r="N48" s="10" t="s">
        <v>23</v>
      </c>
      <c r="O48" t="str">
        <f t="shared" si="22"/>
        <v>T</v>
      </c>
      <c r="P48" t="str">
        <f t="shared" si="23"/>
        <v>F</v>
      </c>
      <c r="Q48" t="str">
        <f t="shared" si="24"/>
        <v>F</v>
      </c>
      <c r="R48" t="str">
        <f t="shared" si="25"/>
        <v>F</v>
      </c>
      <c r="S48" t="str">
        <f t="shared" si="26"/>
        <v>T</v>
      </c>
      <c r="T48" t="str">
        <f t="shared" si="27"/>
        <v>F</v>
      </c>
      <c r="U48">
        <v>1</v>
      </c>
      <c r="V48">
        <v>2</v>
      </c>
      <c r="W48">
        <v>1</v>
      </c>
    </row>
    <row r="49" spans="1:23" x14ac:dyDescent="0.25">
      <c r="A49" t="s">
        <v>41</v>
      </c>
      <c r="B49" t="s">
        <v>100</v>
      </c>
      <c r="C49" t="s">
        <v>43</v>
      </c>
      <c r="D49" t="s">
        <v>43</v>
      </c>
      <c r="E49" t="s">
        <v>11</v>
      </c>
      <c r="F49" t="str">
        <f t="shared" si="14"/>
        <v>F</v>
      </c>
      <c r="G49" t="str">
        <f t="shared" si="15"/>
        <v>T</v>
      </c>
      <c r="H49" t="str">
        <f t="shared" si="16"/>
        <v>F</v>
      </c>
      <c r="I49" t="str">
        <f t="shared" si="17"/>
        <v>F</v>
      </c>
      <c r="J49" t="str">
        <f t="shared" si="18"/>
        <v>F</v>
      </c>
      <c r="K49" t="str">
        <f t="shared" si="19"/>
        <v>F</v>
      </c>
      <c r="L49" t="str">
        <f t="shared" si="20"/>
        <v>F</v>
      </c>
      <c r="M49" t="str">
        <f t="shared" si="21"/>
        <v>F</v>
      </c>
      <c r="N49" s="10" t="s">
        <v>77</v>
      </c>
      <c r="O49" t="str">
        <f t="shared" si="22"/>
        <v>F</v>
      </c>
      <c r="P49" t="str">
        <f t="shared" si="23"/>
        <v>T</v>
      </c>
      <c r="Q49" t="str">
        <f t="shared" si="24"/>
        <v>F</v>
      </c>
      <c r="R49" t="str">
        <f t="shared" si="25"/>
        <v>F</v>
      </c>
      <c r="S49" t="str">
        <f t="shared" si="26"/>
        <v>T</v>
      </c>
      <c r="T49" t="str">
        <f t="shared" si="27"/>
        <v>F</v>
      </c>
      <c r="U49">
        <v>1</v>
      </c>
      <c r="V49">
        <v>2</v>
      </c>
      <c r="W49">
        <v>1</v>
      </c>
    </row>
    <row r="50" spans="1:23" x14ac:dyDescent="0.25">
      <c r="A50" t="s">
        <v>41</v>
      </c>
      <c r="B50" t="s">
        <v>101</v>
      </c>
      <c r="C50" t="s">
        <v>43</v>
      </c>
      <c r="D50" t="s">
        <v>43</v>
      </c>
      <c r="E50" t="s">
        <v>19</v>
      </c>
      <c r="F50" t="str">
        <f t="shared" si="14"/>
        <v>T</v>
      </c>
      <c r="G50" t="str">
        <f t="shared" si="15"/>
        <v>F</v>
      </c>
      <c r="H50" t="str">
        <f t="shared" si="16"/>
        <v>F</v>
      </c>
      <c r="I50" t="str">
        <f t="shared" si="17"/>
        <v>F</v>
      </c>
      <c r="J50" t="str">
        <f t="shared" si="18"/>
        <v>F</v>
      </c>
      <c r="K50" t="str">
        <f t="shared" si="19"/>
        <v>F</v>
      </c>
      <c r="L50" t="str">
        <f t="shared" si="20"/>
        <v>F</v>
      </c>
      <c r="M50" t="str">
        <f t="shared" si="21"/>
        <v>F</v>
      </c>
      <c r="N50" s="10" t="s">
        <v>102</v>
      </c>
      <c r="O50" t="str">
        <f t="shared" si="22"/>
        <v>F</v>
      </c>
      <c r="P50" t="str">
        <f t="shared" si="23"/>
        <v>T</v>
      </c>
      <c r="Q50" t="str">
        <f t="shared" si="24"/>
        <v>F</v>
      </c>
      <c r="R50" t="str">
        <f t="shared" si="25"/>
        <v>F</v>
      </c>
      <c r="S50" t="str">
        <f t="shared" si="26"/>
        <v>F</v>
      </c>
      <c r="T50" t="str">
        <f t="shared" si="27"/>
        <v>T</v>
      </c>
      <c r="U50">
        <v>1</v>
      </c>
      <c r="V50">
        <v>2</v>
      </c>
      <c r="W50">
        <v>1</v>
      </c>
    </row>
    <row r="51" spans="1:23" x14ac:dyDescent="0.25">
      <c r="A51" t="s">
        <v>41</v>
      </c>
      <c r="B51" t="s">
        <v>103</v>
      </c>
      <c r="C51" t="s">
        <v>43</v>
      </c>
      <c r="D51" t="s">
        <v>43</v>
      </c>
      <c r="E51" t="s">
        <v>19</v>
      </c>
      <c r="F51" t="str">
        <f t="shared" si="14"/>
        <v>T</v>
      </c>
      <c r="G51" t="str">
        <f t="shared" si="15"/>
        <v>F</v>
      </c>
      <c r="H51" t="str">
        <f t="shared" si="16"/>
        <v>F</v>
      </c>
      <c r="I51" t="str">
        <f t="shared" si="17"/>
        <v>F</v>
      </c>
      <c r="J51" t="str">
        <f t="shared" si="18"/>
        <v>F</v>
      </c>
      <c r="K51" t="str">
        <f t="shared" si="19"/>
        <v>F</v>
      </c>
      <c r="L51" t="str">
        <f t="shared" si="20"/>
        <v>F</v>
      </c>
      <c r="M51" t="str">
        <f t="shared" si="21"/>
        <v>F</v>
      </c>
      <c r="N51" s="10" t="s">
        <v>104</v>
      </c>
      <c r="O51" t="str">
        <f t="shared" si="22"/>
        <v>F</v>
      </c>
      <c r="P51" t="str">
        <f t="shared" si="23"/>
        <v>F</v>
      </c>
      <c r="Q51" t="str">
        <f t="shared" si="24"/>
        <v>F</v>
      </c>
      <c r="R51" t="str">
        <f t="shared" si="25"/>
        <v>F</v>
      </c>
      <c r="S51" t="str">
        <f t="shared" si="26"/>
        <v>T</v>
      </c>
      <c r="T51" t="str">
        <f t="shared" si="27"/>
        <v>T</v>
      </c>
      <c r="U51">
        <v>1</v>
      </c>
      <c r="V51">
        <v>2</v>
      </c>
      <c r="W51">
        <v>1</v>
      </c>
    </row>
    <row r="52" spans="1:23" x14ac:dyDescent="0.25">
      <c r="A52" t="s">
        <v>41</v>
      </c>
      <c r="B52" t="s">
        <v>105</v>
      </c>
      <c r="C52" t="s">
        <v>43</v>
      </c>
      <c r="D52" t="s">
        <v>43</v>
      </c>
      <c r="E52" t="s">
        <v>11</v>
      </c>
      <c r="F52" t="str">
        <f t="shared" si="14"/>
        <v>F</v>
      </c>
      <c r="G52" t="str">
        <f t="shared" si="15"/>
        <v>T</v>
      </c>
      <c r="H52" t="str">
        <f t="shared" si="16"/>
        <v>F</v>
      </c>
      <c r="I52" t="str">
        <f t="shared" si="17"/>
        <v>F</v>
      </c>
      <c r="J52" t="str">
        <f t="shared" si="18"/>
        <v>F</v>
      </c>
      <c r="K52" t="str">
        <f t="shared" si="19"/>
        <v>F</v>
      </c>
      <c r="L52" t="str">
        <f t="shared" si="20"/>
        <v>F</v>
      </c>
      <c r="M52" t="str">
        <f t="shared" si="21"/>
        <v>F</v>
      </c>
      <c r="N52" s="10" t="s">
        <v>44</v>
      </c>
      <c r="O52" t="str">
        <f t="shared" si="22"/>
        <v>F</v>
      </c>
      <c r="P52" t="str">
        <f t="shared" si="23"/>
        <v>T</v>
      </c>
      <c r="Q52" t="str">
        <f t="shared" si="24"/>
        <v>F</v>
      </c>
      <c r="R52" t="str">
        <f t="shared" si="25"/>
        <v>F</v>
      </c>
      <c r="S52" t="str">
        <f t="shared" si="26"/>
        <v>F</v>
      </c>
      <c r="T52" t="str">
        <f t="shared" si="27"/>
        <v>F</v>
      </c>
      <c r="U52">
        <v>1</v>
      </c>
      <c r="V52">
        <v>2</v>
      </c>
      <c r="W52">
        <v>1</v>
      </c>
    </row>
    <row r="53" spans="1:23" x14ac:dyDescent="0.25">
      <c r="A53" t="s">
        <v>41</v>
      </c>
      <c r="B53" t="s">
        <v>106</v>
      </c>
      <c r="C53" t="s">
        <v>43</v>
      </c>
      <c r="D53" t="s">
        <v>43</v>
      </c>
      <c r="E53" t="s">
        <v>19</v>
      </c>
      <c r="F53" t="str">
        <f t="shared" si="14"/>
        <v>T</v>
      </c>
      <c r="G53" t="str">
        <f t="shared" si="15"/>
        <v>F</v>
      </c>
      <c r="H53" t="str">
        <f t="shared" si="16"/>
        <v>F</v>
      </c>
      <c r="I53" t="str">
        <f t="shared" si="17"/>
        <v>F</v>
      </c>
      <c r="J53" t="str">
        <f t="shared" si="18"/>
        <v>F</v>
      </c>
      <c r="K53" t="str">
        <f t="shared" si="19"/>
        <v>F</v>
      </c>
      <c r="L53" t="str">
        <f t="shared" si="20"/>
        <v>F</v>
      </c>
      <c r="M53" t="str">
        <f t="shared" si="21"/>
        <v>F</v>
      </c>
      <c r="N53" s="11" t="s">
        <v>107</v>
      </c>
      <c r="O53" t="str">
        <f t="shared" si="22"/>
        <v>T</v>
      </c>
      <c r="P53" t="str">
        <f t="shared" si="23"/>
        <v>F</v>
      </c>
      <c r="Q53" t="str">
        <f t="shared" si="24"/>
        <v>F</v>
      </c>
      <c r="R53" t="str">
        <f t="shared" si="25"/>
        <v>F</v>
      </c>
      <c r="S53" t="str">
        <f t="shared" si="26"/>
        <v>F</v>
      </c>
      <c r="T53" t="str">
        <f t="shared" si="27"/>
        <v>T</v>
      </c>
      <c r="U53">
        <v>1</v>
      </c>
      <c r="V53">
        <v>2</v>
      </c>
      <c r="W53">
        <v>1</v>
      </c>
    </row>
    <row r="54" spans="1:23" x14ac:dyDescent="0.25">
      <c r="A54" t="s">
        <v>41</v>
      </c>
      <c r="B54" t="s">
        <v>108</v>
      </c>
      <c r="C54" t="s">
        <v>43</v>
      </c>
      <c r="D54" t="s">
        <v>43</v>
      </c>
      <c r="E54" t="s">
        <v>19</v>
      </c>
      <c r="F54" t="str">
        <f t="shared" si="14"/>
        <v>T</v>
      </c>
      <c r="G54" t="str">
        <f t="shared" si="15"/>
        <v>F</v>
      </c>
      <c r="H54" t="str">
        <f t="shared" si="16"/>
        <v>F</v>
      </c>
      <c r="I54" t="str">
        <f t="shared" si="17"/>
        <v>F</v>
      </c>
      <c r="J54" t="str">
        <f t="shared" si="18"/>
        <v>F</v>
      </c>
      <c r="K54" t="str">
        <f t="shared" si="19"/>
        <v>F</v>
      </c>
      <c r="L54" t="str">
        <f t="shared" si="20"/>
        <v>F</v>
      </c>
      <c r="M54" t="str">
        <f t="shared" si="21"/>
        <v>F</v>
      </c>
      <c r="N54" s="10" t="s">
        <v>88</v>
      </c>
      <c r="O54" t="str">
        <f t="shared" si="22"/>
        <v>T</v>
      </c>
      <c r="P54" t="str">
        <f t="shared" si="23"/>
        <v>T</v>
      </c>
      <c r="Q54" t="str">
        <f t="shared" si="24"/>
        <v>F</v>
      </c>
      <c r="R54" t="str">
        <f t="shared" si="25"/>
        <v>F</v>
      </c>
      <c r="S54" t="str">
        <f t="shared" si="26"/>
        <v>F</v>
      </c>
      <c r="T54" t="str">
        <f t="shared" si="27"/>
        <v>F</v>
      </c>
      <c r="U54">
        <v>1</v>
      </c>
      <c r="V54">
        <v>2</v>
      </c>
      <c r="W54">
        <v>1</v>
      </c>
    </row>
    <row r="55" spans="1:23" x14ac:dyDescent="0.25">
      <c r="A55" t="s">
        <v>41</v>
      </c>
      <c r="B55" t="s">
        <v>109</v>
      </c>
      <c r="C55" t="s">
        <v>43</v>
      </c>
      <c r="D55" t="s">
        <v>43</v>
      </c>
      <c r="E55" t="s">
        <v>19</v>
      </c>
      <c r="F55" t="str">
        <f t="shared" si="14"/>
        <v>T</v>
      </c>
      <c r="G55" t="str">
        <f t="shared" si="15"/>
        <v>F</v>
      </c>
      <c r="H55" t="str">
        <f t="shared" si="16"/>
        <v>F</v>
      </c>
      <c r="I55" t="str">
        <f t="shared" si="17"/>
        <v>F</v>
      </c>
      <c r="J55" t="str">
        <f t="shared" si="18"/>
        <v>F</v>
      </c>
      <c r="K55" t="str">
        <f t="shared" si="19"/>
        <v>F</v>
      </c>
      <c r="L55" t="str">
        <f t="shared" si="20"/>
        <v>F</v>
      </c>
      <c r="M55" t="str">
        <f t="shared" si="21"/>
        <v>F</v>
      </c>
      <c r="N55" s="10" t="s">
        <v>44</v>
      </c>
      <c r="O55" t="str">
        <f t="shared" si="22"/>
        <v>F</v>
      </c>
      <c r="P55" t="str">
        <f t="shared" si="23"/>
        <v>T</v>
      </c>
      <c r="Q55" t="str">
        <f t="shared" si="24"/>
        <v>F</v>
      </c>
      <c r="R55" t="str">
        <f t="shared" si="25"/>
        <v>F</v>
      </c>
      <c r="S55" t="str">
        <f t="shared" si="26"/>
        <v>F</v>
      </c>
      <c r="T55" t="str">
        <f t="shared" si="27"/>
        <v>F</v>
      </c>
      <c r="U55">
        <v>1</v>
      </c>
      <c r="V55">
        <v>2</v>
      </c>
      <c r="W55">
        <v>1</v>
      </c>
    </row>
    <row r="56" spans="1:23" x14ac:dyDescent="0.25">
      <c r="A56" t="s">
        <v>41</v>
      </c>
      <c r="B56" t="s">
        <v>110</v>
      </c>
      <c r="C56" t="s">
        <v>111</v>
      </c>
      <c r="D56" t="s">
        <v>111</v>
      </c>
      <c r="E56" t="s">
        <v>32</v>
      </c>
      <c r="F56" t="str">
        <f t="shared" si="14"/>
        <v>F</v>
      </c>
      <c r="G56" t="str">
        <f t="shared" si="15"/>
        <v>F</v>
      </c>
      <c r="H56" t="str">
        <f t="shared" si="16"/>
        <v>T</v>
      </c>
      <c r="I56" t="str">
        <f t="shared" si="17"/>
        <v>F</v>
      </c>
      <c r="J56" t="str">
        <f t="shared" si="18"/>
        <v>F</v>
      </c>
      <c r="K56" t="str">
        <f t="shared" si="19"/>
        <v>F</v>
      </c>
      <c r="L56" t="str">
        <f t="shared" si="20"/>
        <v>F</v>
      </c>
      <c r="M56" t="str">
        <f t="shared" si="21"/>
        <v>F</v>
      </c>
      <c r="N56" s="10" t="s">
        <v>35</v>
      </c>
      <c r="O56" t="str">
        <f t="shared" si="22"/>
        <v>T</v>
      </c>
      <c r="P56" t="str">
        <f t="shared" si="23"/>
        <v>F</v>
      </c>
      <c r="Q56" t="str">
        <f t="shared" si="24"/>
        <v>F</v>
      </c>
      <c r="R56" t="str">
        <f t="shared" si="25"/>
        <v>F</v>
      </c>
      <c r="S56" t="str">
        <f t="shared" si="26"/>
        <v>F</v>
      </c>
      <c r="T56" t="str">
        <f t="shared" si="27"/>
        <v>F</v>
      </c>
      <c r="U56">
        <v>1</v>
      </c>
      <c r="V56">
        <v>3</v>
      </c>
      <c r="W56">
        <v>2</v>
      </c>
    </row>
    <row r="57" spans="1:23" x14ac:dyDescent="0.25">
      <c r="A57" t="s">
        <v>41</v>
      </c>
      <c r="B57" t="s">
        <v>112</v>
      </c>
      <c r="C57" t="s">
        <v>111</v>
      </c>
      <c r="D57" t="s">
        <v>111</v>
      </c>
      <c r="E57" t="s">
        <v>113</v>
      </c>
      <c r="F57" t="str">
        <f t="shared" si="14"/>
        <v>F</v>
      </c>
      <c r="G57" t="str">
        <f t="shared" si="15"/>
        <v>T</v>
      </c>
      <c r="H57" t="str">
        <f t="shared" si="16"/>
        <v>T</v>
      </c>
      <c r="I57" t="str">
        <f t="shared" si="17"/>
        <v>F</v>
      </c>
      <c r="J57" t="str">
        <f t="shared" si="18"/>
        <v>F</v>
      </c>
      <c r="K57" t="str">
        <f t="shared" si="19"/>
        <v>F</v>
      </c>
      <c r="L57" t="str">
        <f t="shared" si="20"/>
        <v>F</v>
      </c>
      <c r="M57" t="str">
        <f t="shared" si="21"/>
        <v>F</v>
      </c>
      <c r="N57" s="11" t="s">
        <v>35</v>
      </c>
      <c r="O57" t="str">
        <f t="shared" si="22"/>
        <v>T</v>
      </c>
      <c r="P57" t="str">
        <f t="shared" si="23"/>
        <v>F</v>
      </c>
      <c r="Q57" t="str">
        <f t="shared" si="24"/>
        <v>F</v>
      </c>
      <c r="R57" t="str">
        <f t="shared" si="25"/>
        <v>F</v>
      </c>
      <c r="S57" t="str">
        <f t="shared" si="26"/>
        <v>F</v>
      </c>
      <c r="T57" t="str">
        <f t="shared" si="27"/>
        <v>F</v>
      </c>
      <c r="U57">
        <v>2</v>
      </c>
      <c r="V57">
        <v>3</v>
      </c>
      <c r="W57">
        <v>1</v>
      </c>
    </row>
    <row r="58" spans="1:23" x14ac:dyDescent="0.25">
      <c r="A58" t="s">
        <v>41</v>
      </c>
      <c r="B58" t="s">
        <v>114</v>
      </c>
      <c r="C58" t="s">
        <v>111</v>
      </c>
      <c r="D58" t="s">
        <v>111</v>
      </c>
      <c r="E58" t="s">
        <v>11</v>
      </c>
      <c r="F58" t="str">
        <f t="shared" si="14"/>
        <v>F</v>
      </c>
      <c r="G58" t="str">
        <f t="shared" si="15"/>
        <v>T</v>
      </c>
      <c r="H58" t="str">
        <f t="shared" si="16"/>
        <v>F</v>
      </c>
      <c r="I58" t="str">
        <f t="shared" si="17"/>
        <v>F</v>
      </c>
      <c r="J58" t="str">
        <f t="shared" si="18"/>
        <v>F</v>
      </c>
      <c r="K58" t="str">
        <f t="shared" si="19"/>
        <v>F</v>
      </c>
      <c r="L58" t="str">
        <f t="shared" si="20"/>
        <v>F</v>
      </c>
      <c r="M58" t="str">
        <f t="shared" si="21"/>
        <v>F</v>
      </c>
      <c r="N58" s="10" t="s">
        <v>58</v>
      </c>
      <c r="O58" t="str">
        <f t="shared" si="22"/>
        <v>F</v>
      </c>
      <c r="P58" t="str">
        <f t="shared" si="23"/>
        <v>T</v>
      </c>
      <c r="Q58" t="str">
        <f t="shared" si="24"/>
        <v>F</v>
      </c>
      <c r="R58" t="str">
        <f t="shared" si="25"/>
        <v>F</v>
      </c>
      <c r="S58" t="str">
        <f t="shared" si="26"/>
        <v>T</v>
      </c>
      <c r="T58" t="str">
        <f t="shared" si="27"/>
        <v>F</v>
      </c>
      <c r="U58">
        <v>2</v>
      </c>
      <c r="V58">
        <v>3</v>
      </c>
      <c r="W58">
        <v>1</v>
      </c>
    </row>
    <row r="59" spans="1:23" x14ac:dyDescent="0.25">
      <c r="A59" t="s">
        <v>41</v>
      </c>
      <c r="B59" t="s">
        <v>115</v>
      </c>
      <c r="C59" t="s">
        <v>111</v>
      </c>
      <c r="D59" t="s">
        <v>111</v>
      </c>
      <c r="E59" t="s">
        <v>116</v>
      </c>
      <c r="F59" t="str">
        <f t="shared" si="14"/>
        <v>F</v>
      </c>
      <c r="G59" t="str">
        <f t="shared" si="15"/>
        <v>T</v>
      </c>
      <c r="H59" t="str">
        <f t="shared" si="16"/>
        <v>T</v>
      </c>
      <c r="I59" t="str">
        <f t="shared" si="17"/>
        <v>F</v>
      </c>
      <c r="J59" t="str">
        <f t="shared" si="18"/>
        <v>F</v>
      </c>
      <c r="K59" t="str">
        <f t="shared" si="19"/>
        <v>F</v>
      </c>
      <c r="L59" t="str">
        <f t="shared" si="20"/>
        <v>F</v>
      </c>
      <c r="M59" t="str">
        <f t="shared" si="21"/>
        <v>F</v>
      </c>
      <c r="N59" s="10" t="s">
        <v>44</v>
      </c>
      <c r="O59" t="str">
        <f t="shared" si="22"/>
        <v>F</v>
      </c>
      <c r="P59" t="str">
        <f t="shared" si="23"/>
        <v>T</v>
      </c>
      <c r="Q59" t="str">
        <f t="shared" si="24"/>
        <v>F</v>
      </c>
      <c r="R59" t="str">
        <f t="shared" si="25"/>
        <v>F</v>
      </c>
      <c r="S59" t="str">
        <f t="shared" si="26"/>
        <v>F</v>
      </c>
      <c r="T59" t="str">
        <f t="shared" si="27"/>
        <v>F</v>
      </c>
      <c r="U59">
        <v>1</v>
      </c>
      <c r="V59">
        <v>4</v>
      </c>
      <c r="W59">
        <v>3</v>
      </c>
    </row>
    <row r="60" spans="1:23" x14ac:dyDescent="0.25">
      <c r="A60" t="s">
        <v>41</v>
      </c>
      <c r="B60" t="s">
        <v>117</v>
      </c>
      <c r="C60" t="s">
        <v>111</v>
      </c>
      <c r="D60" t="s">
        <v>111</v>
      </c>
      <c r="E60" t="s">
        <v>32</v>
      </c>
      <c r="F60" t="str">
        <f t="shared" si="14"/>
        <v>F</v>
      </c>
      <c r="G60" t="str">
        <f t="shared" si="15"/>
        <v>F</v>
      </c>
      <c r="H60" t="str">
        <f t="shared" si="16"/>
        <v>T</v>
      </c>
      <c r="I60" t="str">
        <f t="shared" si="17"/>
        <v>F</v>
      </c>
      <c r="J60" t="str">
        <f t="shared" si="18"/>
        <v>F</v>
      </c>
      <c r="K60" t="str">
        <f t="shared" si="19"/>
        <v>F</v>
      </c>
      <c r="L60" t="str">
        <f t="shared" si="20"/>
        <v>F</v>
      </c>
      <c r="M60" t="str">
        <f t="shared" si="21"/>
        <v>F</v>
      </c>
      <c r="N60" s="10" t="s">
        <v>35</v>
      </c>
      <c r="O60" t="str">
        <f t="shared" si="22"/>
        <v>T</v>
      </c>
      <c r="P60" t="str">
        <f t="shared" si="23"/>
        <v>F</v>
      </c>
      <c r="Q60" t="str">
        <f t="shared" si="24"/>
        <v>F</v>
      </c>
      <c r="R60" t="str">
        <f t="shared" si="25"/>
        <v>F</v>
      </c>
      <c r="S60" t="str">
        <f t="shared" si="26"/>
        <v>F</v>
      </c>
      <c r="T60" t="str">
        <f t="shared" si="27"/>
        <v>F</v>
      </c>
      <c r="U60">
        <v>1</v>
      </c>
      <c r="V60">
        <v>4</v>
      </c>
      <c r="W60">
        <v>3</v>
      </c>
    </row>
    <row r="61" spans="1:23" x14ac:dyDescent="0.25">
      <c r="A61" t="s">
        <v>41</v>
      </c>
      <c r="B61" t="s">
        <v>118</v>
      </c>
      <c r="C61" t="s">
        <v>111</v>
      </c>
      <c r="D61" t="s">
        <v>111</v>
      </c>
      <c r="E61" t="s">
        <v>32</v>
      </c>
      <c r="F61" t="str">
        <f t="shared" si="14"/>
        <v>F</v>
      </c>
      <c r="G61" t="str">
        <f t="shared" si="15"/>
        <v>F</v>
      </c>
      <c r="H61" t="str">
        <f t="shared" si="16"/>
        <v>T</v>
      </c>
      <c r="I61" t="str">
        <f t="shared" si="17"/>
        <v>F</v>
      </c>
      <c r="J61" t="str">
        <f t="shared" si="18"/>
        <v>F</v>
      </c>
      <c r="K61" t="str">
        <f t="shared" si="19"/>
        <v>F</v>
      </c>
      <c r="L61" t="str">
        <f t="shared" si="20"/>
        <v>F</v>
      </c>
      <c r="M61" t="str">
        <f t="shared" si="21"/>
        <v>F</v>
      </c>
      <c r="N61" s="10" t="s">
        <v>35</v>
      </c>
      <c r="O61" t="str">
        <f t="shared" si="22"/>
        <v>T</v>
      </c>
      <c r="P61" t="str">
        <f t="shared" si="23"/>
        <v>F</v>
      </c>
      <c r="Q61" t="str">
        <f t="shared" si="24"/>
        <v>F</v>
      </c>
      <c r="R61" t="str">
        <f t="shared" si="25"/>
        <v>F</v>
      </c>
      <c r="S61" t="str">
        <f t="shared" si="26"/>
        <v>F</v>
      </c>
      <c r="T61" t="str">
        <f t="shared" si="27"/>
        <v>F</v>
      </c>
      <c r="U61">
        <v>1</v>
      </c>
      <c r="V61">
        <v>3</v>
      </c>
      <c r="W61">
        <v>2</v>
      </c>
    </row>
    <row r="62" spans="1:23" x14ac:dyDescent="0.25">
      <c r="A62" t="s">
        <v>41</v>
      </c>
      <c r="B62" t="s">
        <v>119</v>
      </c>
      <c r="C62" t="s">
        <v>111</v>
      </c>
      <c r="D62" t="s">
        <v>111</v>
      </c>
      <c r="E62" t="s">
        <v>32</v>
      </c>
      <c r="F62" t="str">
        <f t="shared" si="14"/>
        <v>F</v>
      </c>
      <c r="G62" t="str">
        <f t="shared" si="15"/>
        <v>F</v>
      </c>
      <c r="H62" t="str">
        <f t="shared" si="16"/>
        <v>T</v>
      </c>
      <c r="I62" t="str">
        <f t="shared" si="17"/>
        <v>F</v>
      </c>
      <c r="J62" t="str">
        <f t="shared" si="18"/>
        <v>F</v>
      </c>
      <c r="K62" t="str">
        <f t="shared" si="19"/>
        <v>F</v>
      </c>
      <c r="L62" t="str">
        <f t="shared" si="20"/>
        <v>F</v>
      </c>
      <c r="M62" t="str">
        <f t="shared" si="21"/>
        <v>F</v>
      </c>
      <c r="N62" s="10" t="s">
        <v>35</v>
      </c>
      <c r="O62" t="str">
        <f t="shared" si="22"/>
        <v>T</v>
      </c>
      <c r="P62" t="str">
        <f t="shared" si="23"/>
        <v>F</v>
      </c>
      <c r="Q62" t="str">
        <f t="shared" si="24"/>
        <v>F</v>
      </c>
      <c r="R62" t="str">
        <f t="shared" si="25"/>
        <v>F</v>
      </c>
      <c r="S62" t="str">
        <f t="shared" si="26"/>
        <v>F</v>
      </c>
      <c r="T62" t="str">
        <f t="shared" si="27"/>
        <v>F</v>
      </c>
      <c r="U62">
        <v>1</v>
      </c>
      <c r="V62">
        <v>5</v>
      </c>
      <c r="W62">
        <v>4</v>
      </c>
    </row>
    <row r="63" spans="1:23" x14ac:dyDescent="0.25">
      <c r="A63" t="s">
        <v>41</v>
      </c>
      <c r="B63" t="s">
        <v>120</v>
      </c>
      <c r="C63" t="s">
        <v>111</v>
      </c>
      <c r="D63" t="s">
        <v>111</v>
      </c>
      <c r="E63" t="s">
        <v>113</v>
      </c>
      <c r="F63" t="str">
        <f t="shared" si="14"/>
        <v>F</v>
      </c>
      <c r="G63" t="str">
        <f t="shared" si="15"/>
        <v>T</v>
      </c>
      <c r="H63" t="str">
        <f t="shared" si="16"/>
        <v>T</v>
      </c>
      <c r="I63" t="str">
        <f t="shared" si="17"/>
        <v>F</v>
      </c>
      <c r="J63" t="str">
        <f t="shared" si="18"/>
        <v>F</v>
      </c>
      <c r="K63" t="str">
        <f t="shared" si="19"/>
        <v>F</v>
      </c>
      <c r="L63" t="str">
        <f t="shared" si="20"/>
        <v>F</v>
      </c>
      <c r="M63" t="str">
        <f t="shared" si="21"/>
        <v>F</v>
      </c>
      <c r="N63" s="10" t="s">
        <v>23</v>
      </c>
      <c r="O63" t="str">
        <f t="shared" si="22"/>
        <v>T</v>
      </c>
      <c r="P63" t="str">
        <f t="shared" si="23"/>
        <v>F</v>
      </c>
      <c r="Q63" t="str">
        <f t="shared" si="24"/>
        <v>F</v>
      </c>
      <c r="R63" t="str">
        <f t="shared" si="25"/>
        <v>F</v>
      </c>
      <c r="S63" t="str">
        <f t="shared" si="26"/>
        <v>T</v>
      </c>
      <c r="T63" t="str">
        <f t="shared" si="27"/>
        <v>F</v>
      </c>
      <c r="U63">
        <v>2</v>
      </c>
      <c r="V63">
        <v>4</v>
      </c>
      <c r="W63">
        <v>2</v>
      </c>
    </row>
    <row r="64" spans="1:23" x14ac:dyDescent="0.25">
      <c r="A64" t="s">
        <v>41</v>
      </c>
      <c r="B64" t="s">
        <v>121</v>
      </c>
      <c r="C64" t="s">
        <v>111</v>
      </c>
      <c r="D64" t="s">
        <v>111</v>
      </c>
      <c r="E64" t="s">
        <v>113</v>
      </c>
      <c r="F64" t="str">
        <f t="shared" si="14"/>
        <v>F</v>
      </c>
      <c r="G64" t="str">
        <f t="shared" si="15"/>
        <v>T</v>
      </c>
      <c r="H64" t="str">
        <f t="shared" si="16"/>
        <v>T</v>
      </c>
      <c r="I64" t="str">
        <f t="shared" si="17"/>
        <v>F</v>
      </c>
      <c r="J64" t="str">
        <f t="shared" si="18"/>
        <v>F</v>
      </c>
      <c r="K64" t="str">
        <f t="shared" si="19"/>
        <v>F</v>
      </c>
      <c r="L64" t="str">
        <f t="shared" si="20"/>
        <v>F</v>
      </c>
      <c r="M64" t="str">
        <f t="shared" si="21"/>
        <v>F</v>
      </c>
      <c r="N64" s="10" t="s">
        <v>88</v>
      </c>
      <c r="O64" t="str">
        <f t="shared" si="22"/>
        <v>T</v>
      </c>
      <c r="P64" t="str">
        <f t="shared" si="23"/>
        <v>T</v>
      </c>
      <c r="Q64" t="str">
        <f t="shared" si="24"/>
        <v>F</v>
      </c>
      <c r="R64" t="str">
        <f t="shared" si="25"/>
        <v>F</v>
      </c>
      <c r="S64" t="str">
        <f t="shared" si="26"/>
        <v>F</v>
      </c>
      <c r="T64" t="str">
        <f t="shared" si="27"/>
        <v>F</v>
      </c>
      <c r="U64">
        <v>1</v>
      </c>
      <c r="V64">
        <v>5</v>
      </c>
      <c r="W64">
        <v>4</v>
      </c>
    </row>
    <row r="65" spans="1:23" x14ac:dyDescent="0.25">
      <c r="A65" t="s">
        <v>41</v>
      </c>
      <c r="B65" t="s">
        <v>122</v>
      </c>
      <c r="C65" t="s">
        <v>111</v>
      </c>
      <c r="D65" t="s">
        <v>111</v>
      </c>
      <c r="E65" t="s">
        <v>113</v>
      </c>
      <c r="F65" t="str">
        <f t="shared" si="14"/>
        <v>F</v>
      </c>
      <c r="G65" t="str">
        <f t="shared" si="15"/>
        <v>T</v>
      </c>
      <c r="H65" t="str">
        <f t="shared" si="16"/>
        <v>T</v>
      </c>
      <c r="I65" t="str">
        <f t="shared" si="17"/>
        <v>F</v>
      </c>
      <c r="J65" t="str">
        <f t="shared" si="18"/>
        <v>F</v>
      </c>
      <c r="K65" t="str">
        <f t="shared" si="19"/>
        <v>F</v>
      </c>
      <c r="L65" t="str">
        <f t="shared" si="20"/>
        <v>F</v>
      </c>
      <c r="M65" t="str">
        <f t="shared" si="21"/>
        <v>F</v>
      </c>
      <c r="N65" s="10" t="s">
        <v>88</v>
      </c>
      <c r="O65" t="str">
        <f t="shared" si="22"/>
        <v>T</v>
      </c>
      <c r="P65" t="str">
        <f t="shared" si="23"/>
        <v>T</v>
      </c>
      <c r="Q65" t="str">
        <f t="shared" si="24"/>
        <v>F</v>
      </c>
      <c r="R65" t="str">
        <f t="shared" si="25"/>
        <v>F</v>
      </c>
      <c r="S65" t="str">
        <f t="shared" si="26"/>
        <v>F</v>
      </c>
      <c r="T65" t="str">
        <f t="shared" si="27"/>
        <v>F</v>
      </c>
      <c r="U65">
        <v>1</v>
      </c>
      <c r="V65">
        <v>5</v>
      </c>
      <c r="W65">
        <v>4</v>
      </c>
    </row>
    <row r="66" spans="1:23" x14ac:dyDescent="0.25">
      <c r="A66" t="s">
        <v>41</v>
      </c>
      <c r="B66" t="s">
        <v>123</v>
      </c>
      <c r="C66" t="s">
        <v>111</v>
      </c>
      <c r="D66" t="s">
        <v>111</v>
      </c>
      <c r="E66" t="s">
        <v>11</v>
      </c>
      <c r="F66" t="str">
        <f t="shared" ref="F66:F97" si="28">IF(ISNUMBER(SEARCH("Academic Policies", $E66)), "T", "F")</f>
        <v>F</v>
      </c>
      <c r="G66" t="str">
        <f t="shared" ref="G66:G97" si="29">IF(ISNUMBER(SEARCH("Campus Life", $E66)), "T", "F")</f>
        <v>T</v>
      </c>
      <c r="H66" t="str">
        <f t="shared" ref="H66:H97" si="30">IF(ISNUMBER(SEARCH("Student Government", $E66)), "T", "F")</f>
        <v>F</v>
      </c>
      <c r="I66" t="str">
        <f t="shared" ref="I66:I97" si="31">IF(ISNUMBER(SEARCH("Financial/Administrative Decisions", $E66)), "T", "F")</f>
        <v>F</v>
      </c>
      <c r="J66" t="str">
        <f t="shared" ref="J66:J97" si="32">IF(ISNUMBER(SEARCH("Diversity, Equity &amp; Inclusion", $E66)), "T", "F")</f>
        <v>F</v>
      </c>
      <c r="K66" t="str">
        <f t="shared" ref="K66:K97" si="33">IF(ISNUMBER(SEARCH("Activism/Social Movements", $E66)), "T", "F")</f>
        <v>F</v>
      </c>
      <c r="L66" t="str">
        <f t="shared" ref="L66:L97" si="34">IF(ISNUMBER(SEARCH("Facilities/Infrastructure", $E66)), "T", "F")</f>
        <v>F</v>
      </c>
      <c r="M66" t="str">
        <f t="shared" ref="M66:M97" si="35">IF(ISNUMBER(SEARCH("Faculty/Staff Relations", $E66)), "T", "F")</f>
        <v>F</v>
      </c>
      <c r="N66" s="10" t="s">
        <v>93</v>
      </c>
      <c r="O66" t="str">
        <f t="shared" ref="O66:O97" si="36">IF(ISNUMBER(SEARCH("Student government leaders or members", $N66)), "T", "F")</f>
        <v>F</v>
      </c>
      <c r="P66" t="str">
        <f t="shared" ref="P66:P97" si="37">IF(ISNUMBER(SEARCH("Individual students", $N66)), "T", "F")</f>
        <v>F</v>
      </c>
      <c r="Q66" t="str">
        <f t="shared" ref="Q66:Q97" si="38">IF(ISNUMBER(SEARCH("Student organizations or groups", $N66)), "T", "F")</f>
        <v>F</v>
      </c>
      <c r="R66" t="str">
        <f t="shared" ref="R66:R97" si="39">IF(ISNUMBER(SEARCH("Alumni", $N66)), "T", "F")</f>
        <v>F</v>
      </c>
      <c r="S66" t="str">
        <f t="shared" ref="S66:S97" si="40">IF(ISNUMBER(SEARCH("Administrators", $N66)), "T", "F")</f>
        <v>T</v>
      </c>
      <c r="T66" t="str">
        <f t="shared" ref="T66:T97" si="41">IF(ISNUMBER(SEARCH("Faculty", $N66)), "T", "F")</f>
        <v>F</v>
      </c>
      <c r="U66">
        <v>2</v>
      </c>
      <c r="V66">
        <v>4</v>
      </c>
      <c r="W66">
        <v>2</v>
      </c>
    </row>
    <row r="67" spans="1:23" x14ac:dyDescent="0.25">
      <c r="A67" t="s">
        <v>41</v>
      </c>
      <c r="B67" t="s">
        <v>124</v>
      </c>
      <c r="C67" t="s">
        <v>111</v>
      </c>
      <c r="D67" t="s">
        <v>111</v>
      </c>
      <c r="E67" t="s">
        <v>62</v>
      </c>
      <c r="F67" t="str">
        <f t="shared" si="28"/>
        <v>T</v>
      </c>
      <c r="G67" t="str">
        <f t="shared" si="29"/>
        <v>T</v>
      </c>
      <c r="H67" t="str">
        <f t="shared" si="30"/>
        <v>F</v>
      </c>
      <c r="I67" t="str">
        <f t="shared" si="31"/>
        <v>F</v>
      </c>
      <c r="J67" t="str">
        <f t="shared" si="32"/>
        <v>F</v>
      </c>
      <c r="K67" t="str">
        <f t="shared" si="33"/>
        <v>F</v>
      </c>
      <c r="L67" t="str">
        <f t="shared" si="34"/>
        <v>F</v>
      </c>
      <c r="M67" t="str">
        <f t="shared" si="35"/>
        <v>F</v>
      </c>
      <c r="N67" s="10" t="s">
        <v>40</v>
      </c>
      <c r="O67" t="str">
        <f t="shared" si="36"/>
        <v>F</v>
      </c>
      <c r="P67" t="str">
        <f t="shared" si="37"/>
        <v>F</v>
      </c>
      <c r="Q67" t="str">
        <f t="shared" si="38"/>
        <v>T</v>
      </c>
      <c r="R67" t="str">
        <f t="shared" si="39"/>
        <v>F</v>
      </c>
      <c r="S67" t="str">
        <f t="shared" si="40"/>
        <v>F</v>
      </c>
      <c r="T67" t="str">
        <f t="shared" si="41"/>
        <v>F</v>
      </c>
      <c r="U67">
        <v>2</v>
      </c>
      <c r="V67">
        <v>3</v>
      </c>
      <c r="W67">
        <v>1</v>
      </c>
    </row>
    <row r="68" spans="1:23" x14ac:dyDescent="0.25">
      <c r="A68" t="s">
        <v>41</v>
      </c>
      <c r="B68" t="s">
        <v>125</v>
      </c>
      <c r="C68" t="s">
        <v>111</v>
      </c>
      <c r="D68" t="s">
        <v>111</v>
      </c>
      <c r="E68" t="s">
        <v>126</v>
      </c>
      <c r="F68" t="str">
        <f t="shared" si="28"/>
        <v>T</v>
      </c>
      <c r="G68" t="str">
        <f t="shared" si="29"/>
        <v>T</v>
      </c>
      <c r="H68" t="str">
        <f t="shared" si="30"/>
        <v>F</v>
      </c>
      <c r="I68" t="str">
        <f t="shared" si="31"/>
        <v>T</v>
      </c>
      <c r="J68" t="str">
        <f t="shared" si="32"/>
        <v>T</v>
      </c>
      <c r="K68" t="str">
        <f t="shared" si="33"/>
        <v>F</v>
      </c>
      <c r="L68" t="str">
        <f t="shared" si="34"/>
        <v>T</v>
      </c>
      <c r="M68" t="str">
        <f t="shared" si="35"/>
        <v>F</v>
      </c>
      <c r="N68" s="10" t="s">
        <v>93</v>
      </c>
      <c r="O68" t="str">
        <f t="shared" si="36"/>
        <v>F</v>
      </c>
      <c r="P68" t="str">
        <f t="shared" si="37"/>
        <v>F</v>
      </c>
      <c r="Q68" t="str">
        <f t="shared" si="38"/>
        <v>F</v>
      </c>
      <c r="R68" t="str">
        <f t="shared" si="39"/>
        <v>F</v>
      </c>
      <c r="S68" t="str">
        <f t="shared" si="40"/>
        <v>T</v>
      </c>
      <c r="T68" t="str">
        <f t="shared" si="41"/>
        <v>F</v>
      </c>
      <c r="U68">
        <v>2</v>
      </c>
      <c r="V68">
        <v>3</v>
      </c>
      <c r="W68">
        <v>1</v>
      </c>
    </row>
    <row r="69" spans="1:23" x14ac:dyDescent="0.25">
      <c r="A69" t="s">
        <v>41</v>
      </c>
      <c r="B69" t="s">
        <v>127</v>
      </c>
      <c r="C69" t="s">
        <v>111</v>
      </c>
      <c r="D69" t="s">
        <v>111</v>
      </c>
      <c r="E69" t="s">
        <v>11</v>
      </c>
      <c r="F69" t="str">
        <f t="shared" si="28"/>
        <v>F</v>
      </c>
      <c r="G69" t="str">
        <f t="shared" si="29"/>
        <v>T</v>
      </c>
      <c r="H69" t="str">
        <f t="shared" si="30"/>
        <v>F</v>
      </c>
      <c r="I69" t="str">
        <f t="shared" si="31"/>
        <v>F</v>
      </c>
      <c r="J69" t="str">
        <f t="shared" si="32"/>
        <v>F</v>
      </c>
      <c r="K69" t="str">
        <f t="shared" si="33"/>
        <v>F</v>
      </c>
      <c r="L69" t="str">
        <f t="shared" si="34"/>
        <v>F</v>
      </c>
      <c r="M69" t="str">
        <f t="shared" si="35"/>
        <v>F</v>
      </c>
      <c r="N69" s="10" t="s">
        <v>40</v>
      </c>
      <c r="O69" t="str">
        <f t="shared" si="36"/>
        <v>F</v>
      </c>
      <c r="P69" t="str">
        <f t="shared" si="37"/>
        <v>F</v>
      </c>
      <c r="Q69" t="str">
        <f t="shared" si="38"/>
        <v>T</v>
      </c>
      <c r="R69" t="str">
        <f t="shared" si="39"/>
        <v>F</v>
      </c>
      <c r="S69" t="str">
        <f t="shared" si="40"/>
        <v>F</v>
      </c>
      <c r="T69" t="str">
        <f t="shared" si="41"/>
        <v>F</v>
      </c>
      <c r="U69">
        <v>2</v>
      </c>
      <c r="V69">
        <v>3</v>
      </c>
      <c r="W69">
        <v>1</v>
      </c>
    </row>
    <row r="70" spans="1:23" x14ac:dyDescent="0.25">
      <c r="A70" t="s">
        <v>41</v>
      </c>
      <c r="B70" t="s">
        <v>128</v>
      </c>
      <c r="C70" t="s">
        <v>111</v>
      </c>
      <c r="D70" t="s">
        <v>111</v>
      </c>
      <c r="E70" t="s">
        <v>19</v>
      </c>
      <c r="F70" t="str">
        <f t="shared" si="28"/>
        <v>T</v>
      </c>
      <c r="G70" t="str">
        <f t="shared" si="29"/>
        <v>F</v>
      </c>
      <c r="H70" t="str">
        <f t="shared" si="30"/>
        <v>F</v>
      </c>
      <c r="I70" t="str">
        <f t="shared" si="31"/>
        <v>F</v>
      </c>
      <c r="J70" t="str">
        <f t="shared" si="32"/>
        <v>F</v>
      </c>
      <c r="K70" t="str">
        <f t="shared" si="33"/>
        <v>F</v>
      </c>
      <c r="L70" t="str">
        <f t="shared" si="34"/>
        <v>F</v>
      </c>
      <c r="M70" t="str">
        <f t="shared" si="35"/>
        <v>F</v>
      </c>
      <c r="N70" s="10" t="s">
        <v>129</v>
      </c>
      <c r="O70" t="str">
        <f t="shared" si="36"/>
        <v>T</v>
      </c>
      <c r="P70" t="str">
        <f t="shared" si="37"/>
        <v>F</v>
      </c>
      <c r="Q70" t="str">
        <f t="shared" si="38"/>
        <v>F</v>
      </c>
      <c r="R70" t="str">
        <f t="shared" si="39"/>
        <v>F</v>
      </c>
      <c r="S70" t="str">
        <f t="shared" si="40"/>
        <v>T</v>
      </c>
      <c r="T70" t="str">
        <f t="shared" si="41"/>
        <v>F</v>
      </c>
      <c r="U70">
        <v>2</v>
      </c>
      <c r="V70">
        <v>3</v>
      </c>
      <c r="W70">
        <v>1</v>
      </c>
    </row>
    <row r="71" spans="1:23" x14ac:dyDescent="0.25">
      <c r="A71" t="s">
        <v>41</v>
      </c>
      <c r="B71" t="s">
        <v>130</v>
      </c>
      <c r="C71" t="s">
        <v>111</v>
      </c>
      <c r="D71" t="s">
        <v>111</v>
      </c>
      <c r="E71" t="s">
        <v>131</v>
      </c>
      <c r="F71" t="str">
        <f t="shared" si="28"/>
        <v>T</v>
      </c>
      <c r="G71" t="str">
        <f t="shared" si="29"/>
        <v>T</v>
      </c>
      <c r="H71" t="str">
        <f t="shared" si="30"/>
        <v>T</v>
      </c>
      <c r="I71" t="str">
        <f t="shared" si="31"/>
        <v>T</v>
      </c>
      <c r="J71" t="str">
        <f t="shared" si="32"/>
        <v>F</v>
      </c>
      <c r="K71" t="str">
        <f t="shared" si="33"/>
        <v>F</v>
      </c>
      <c r="L71" t="str">
        <f t="shared" si="34"/>
        <v>T</v>
      </c>
      <c r="M71" t="str">
        <f t="shared" si="35"/>
        <v>F</v>
      </c>
      <c r="N71" s="10" t="s">
        <v>58</v>
      </c>
      <c r="O71" t="str">
        <f t="shared" si="36"/>
        <v>F</v>
      </c>
      <c r="P71" t="str">
        <f t="shared" si="37"/>
        <v>T</v>
      </c>
      <c r="Q71" t="str">
        <f t="shared" si="38"/>
        <v>F</v>
      </c>
      <c r="R71" t="str">
        <f t="shared" si="39"/>
        <v>F</v>
      </c>
      <c r="S71" t="str">
        <f t="shared" si="40"/>
        <v>T</v>
      </c>
      <c r="T71" t="str">
        <f t="shared" si="41"/>
        <v>F</v>
      </c>
      <c r="U71">
        <v>2</v>
      </c>
      <c r="V71">
        <v>3</v>
      </c>
      <c r="W71">
        <v>1</v>
      </c>
    </row>
    <row r="72" spans="1:23" x14ac:dyDescent="0.25">
      <c r="A72" t="s">
        <v>41</v>
      </c>
      <c r="B72" t="s">
        <v>132</v>
      </c>
      <c r="C72" t="s">
        <v>111</v>
      </c>
      <c r="D72" t="s">
        <v>111</v>
      </c>
      <c r="E72" t="s">
        <v>49</v>
      </c>
      <c r="F72" t="str">
        <f t="shared" si="28"/>
        <v>T</v>
      </c>
      <c r="G72" t="str">
        <f t="shared" si="29"/>
        <v>F</v>
      </c>
      <c r="H72" t="str">
        <f t="shared" si="30"/>
        <v>F</v>
      </c>
      <c r="I72" t="str">
        <f t="shared" si="31"/>
        <v>T</v>
      </c>
      <c r="J72" t="str">
        <f t="shared" si="32"/>
        <v>F</v>
      </c>
      <c r="K72" t="str">
        <f t="shared" si="33"/>
        <v>F</v>
      </c>
      <c r="L72" t="str">
        <f t="shared" si="34"/>
        <v>F</v>
      </c>
      <c r="M72" t="str">
        <f t="shared" si="35"/>
        <v>F</v>
      </c>
      <c r="N72" s="10" t="s">
        <v>104</v>
      </c>
      <c r="O72" t="str">
        <f t="shared" si="36"/>
        <v>F</v>
      </c>
      <c r="P72" t="str">
        <f t="shared" si="37"/>
        <v>F</v>
      </c>
      <c r="Q72" t="str">
        <f t="shared" si="38"/>
        <v>F</v>
      </c>
      <c r="R72" t="str">
        <f t="shared" si="39"/>
        <v>F</v>
      </c>
      <c r="S72" t="str">
        <f t="shared" si="40"/>
        <v>T</v>
      </c>
      <c r="T72" t="str">
        <f t="shared" si="41"/>
        <v>T</v>
      </c>
      <c r="U72">
        <v>2</v>
      </c>
      <c r="V72">
        <v>3</v>
      </c>
      <c r="W72">
        <v>1</v>
      </c>
    </row>
    <row r="73" spans="1:23" x14ac:dyDescent="0.25">
      <c r="A73" t="s">
        <v>41</v>
      </c>
      <c r="B73" t="s">
        <v>133</v>
      </c>
      <c r="C73" t="s">
        <v>111</v>
      </c>
      <c r="D73" t="s">
        <v>111</v>
      </c>
      <c r="E73" t="s">
        <v>11</v>
      </c>
      <c r="F73" t="str">
        <f t="shared" si="28"/>
        <v>F</v>
      </c>
      <c r="G73" t="str">
        <f t="shared" si="29"/>
        <v>T</v>
      </c>
      <c r="H73" t="str">
        <f t="shared" si="30"/>
        <v>F</v>
      </c>
      <c r="I73" t="str">
        <f t="shared" si="31"/>
        <v>F</v>
      </c>
      <c r="J73" t="str">
        <f t="shared" si="32"/>
        <v>F</v>
      </c>
      <c r="K73" t="str">
        <f t="shared" si="33"/>
        <v>F</v>
      </c>
      <c r="L73" t="str">
        <f t="shared" si="34"/>
        <v>F</v>
      </c>
      <c r="M73" t="str">
        <f t="shared" si="35"/>
        <v>F</v>
      </c>
      <c r="N73" s="10" t="s">
        <v>71</v>
      </c>
      <c r="O73" t="str">
        <f t="shared" si="36"/>
        <v>F</v>
      </c>
      <c r="P73" t="str">
        <f t="shared" si="37"/>
        <v>F</v>
      </c>
      <c r="Q73" t="str">
        <f t="shared" si="38"/>
        <v>T</v>
      </c>
      <c r="R73" t="str">
        <f t="shared" si="39"/>
        <v>F</v>
      </c>
      <c r="S73" t="str">
        <f t="shared" si="40"/>
        <v>T</v>
      </c>
      <c r="T73" t="str">
        <f t="shared" si="41"/>
        <v>F</v>
      </c>
      <c r="U73">
        <v>2</v>
      </c>
      <c r="V73">
        <v>3</v>
      </c>
      <c r="W73">
        <v>1</v>
      </c>
    </row>
    <row r="74" spans="1:23" x14ac:dyDescent="0.25">
      <c r="A74" t="s">
        <v>41</v>
      </c>
      <c r="B74" t="s">
        <v>134</v>
      </c>
      <c r="C74" t="s">
        <v>111</v>
      </c>
      <c r="D74" t="s">
        <v>111</v>
      </c>
      <c r="E74" t="s">
        <v>116</v>
      </c>
      <c r="F74" t="str">
        <f t="shared" si="28"/>
        <v>F</v>
      </c>
      <c r="G74" t="str">
        <f t="shared" si="29"/>
        <v>T</v>
      </c>
      <c r="H74" t="str">
        <f t="shared" si="30"/>
        <v>T</v>
      </c>
      <c r="I74" t="str">
        <f t="shared" si="31"/>
        <v>F</v>
      </c>
      <c r="J74" t="str">
        <f t="shared" si="32"/>
        <v>F</v>
      </c>
      <c r="K74" t="str">
        <f t="shared" si="33"/>
        <v>F</v>
      </c>
      <c r="L74" t="str">
        <f t="shared" si="34"/>
        <v>F</v>
      </c>
      <c r="M74" t="str">
        <f t="shared" si="35"/>
        <v>F</v>
      </c>
      <c r="N74" s="10" t="s">
        <v>35</v>
      </c>
      <c r="O74" t="str">
        <f t="shared" si="36"/>
        <v>T</v>
      </c>
      <c r="P74" t="str">
        <f t="shared" si="37"/>
        <v>F</v>
      </c>
      <c r="Q74" t="str">
        <f t="shared" si="38"/>
        <v>F</v>
      </c>
      <c r="R74" t="str">
        <f t="shared" si="39"/>
        <v>F</v>
      </c>
      <c r="S74" t="str">
        <f t="shared" si="40"/>
        <v>F</v>
      </c>
      <c r="T74" t="str">
        <f t="shared" si="41"/>
        <v>F</v>
      </c>
      <c r="U74">
        <v>1</v>
      </c>
      <c r="V74">
        <v>5</v>
      </c>
      <c r="W74">
        <v>4</v>
      </c>
    </row>
    <row r="75" spans="1:23" x14ac:dyDescent="0.25">
      <c r="A75" t="s">
        <v>41</v>
      </c>
      <c r="B75" t="s">
        <v>135</v>
      </c>
      <c r="C75" t="s">
        <v>111</v>
      </c>
      <c r="D75" t="s">
        <v>111</v>
      </c>
      <c r="E75" t="s">
        <v>136</v>
      </c>
      <c r="F75" t="str">
        <f t="shared" si="28"/>
        <v>T</v>
      </c>
      <c r="G75" t="str">
        <f t="shared" si="29"/>
        <v>T</v>
      </c>
      <c r="H75" t="str">
        <f t="shared" si="30"/>
        <v>F</v>
      </c>
      <c r="I75" t="str">
        <f t="shared" si="31"/>
        <v>T</v>
      </c>
      <c r="J75" t="str">
        <f t="shared" si="32"/>
        <v>F</v>
      </c>
      <c r="K75" t="str">
        <f t="shared" si="33"/>
        <v>F</v>
      </c>
      <c r="L75" t="str">
        <f t="shared" si="34"/>
        <v>F</v>
      </c>
      <c r="M75" t="str">
        <f t="shared" si="35"/>
        <v>F</v>
      </c>
      <c r="N75" s="10" t="s">
        <v>40</v>
      </c>
      <c r="O75" t="str">
        <f t="shared" si="36"/>
        <v>F</v>
      </c>
      <c r="P75" t="str">
        <f t="shared" si="37"/>
        <v>F</v>
      </c>
      <c r="Q75" t="str">
        <f t="shared" si="38"/>
        <v>T</v>
      </c>
      <c r="R75" t="str">
        <f t="shared" si="39"/>
        <v>F</v>
      </c>
      <c r="S75" t="str">
        <f t="shared" si="40"/>
        <v>F</v>
      </c>
      <c r="T75" t="str">
        <f t="shared" si="41"/>
        <v>F</v>
      </c>
      <c r="U75">
        <v>2</v>
      </c>
      <c r="V75">
        <v>3</v>
      </c>
      <c r="W75">
        <v>1</v>
      </c>
    </row>
    <row r="76" spans="1:23" x14ac:dyDescent="0.25">
      <c r="A76" t="s">
        <v>41</v>
      </c>
      <c r="B76" t="s">
        <v>137</v>
      </c>
      <c r="C76" t="s">
        <v>111</v>
      </c>
      <c r="D76" t="s">
        <v>111</v>
      </c>
      <c r="E76" t="s">
        <v>113</v>
      </c>
      <c r="F76" t="str">
        <f t="shared" si="28"/>
        <v>F</v>
      </c>
      <c r="G76" t="str">
        <f t="shared" si="29"/>
        <v>T</v>
      </c>
      <c r="H76" t="str">
        <f t="shared" si="30"/>
        <v>T</v>
      </c>
      <c r="I76" t="str">
        <f t="shared" si="31"/>
        <v>F</v>
      </c>
      <c r="J76" t="str">
        <f t="shared" si="32"/>
        <v>F</v>
      </c>
      <c r="K76" t="str">
        <f t="shared" si="33"/>
        <v>F</v>
      </c>
      <c r="L76" t="str">
        <f t="shared" si="34"/>
        <v>F</v>
      </c>
      <c r="M76" t="str">
        <f t="shared" si="35"/>
        <v>F</v>
      </c>
      <c r="N76" s="10" t="s">
        <v>35</v>
      </c>
      <c r="O76" t="str">
        <f t="shared" si="36"/>
        <v>T</v>
      </c>
      <c r="P76" t="str">
        <f t="shared" si="37"/>
        <v>F</v>
      </c>
      <c r="Q76" t="str">
        <f t="shared" si="38"/>
        <v>F</v>
      </c>
      <c r="R76" t="str">
        <f t="shared" si="39"/>
        <v>F</v>
      </c>
      <c r="S76" t="str">
        <f t="shared" si="40"/>
        <v>F</v>
      </c>
      <c r="T76" t="str">
        <f t="shared" si="41"/>
        <v>F</v>
      </c>
      <c r="U76">
        <v>1</v>
      </c>
      <c r="V76">
        <v>5</v>
      </c>
      <c r="W76">
        <v>4</v>
      </c>
    </row>
    <row r="77" spans="1:23" x14ac:dyDescent="0.25">
      <c r="A77" t="s">
        <v>41</v>
      </c>
      <c r="B77" t="s">
        <v>138</v>
      </c>
      <c r="C77" t="s">
        <v>111</v>
      </c>
      <c r="D77" t="s">
        <v>111</v>
      </c>
      <c r="E77" t="s">
        <v>11</v>
      </c>
      <c r="F77" t="str">
        <f t="shared" si="28"/>
        <v>F</v>
      </c>
      <c r="G77" t="str">
        <f t="shared" si="29"/>
        <v>T</v>
      </c>
      <c r="H77" t="str">
        <f t="shared" si="30"/>
        <v>F</v>
      </c>
      <c r="I77" t="str">
        <f t="shared" si="31"/>
        <v>F</v>
      </c>
      <c r="J77" t="str">
        <f t="shared" si="32"/>
        <v>F</v>
      </c>
      <c r="K77" t="str">
        <f t="shared" si="33"/>
        <v>F</v>
      </c>
      <c r="L77" t="str">
        <f t="shared" si="34"/>
        <v>F</v>
      </c>
      <c r="M77" t="str">
        <f t="shared" si="35"/>
        <v>F</v>
      </c>
      <c r="N77" s="10" t="s">
        <v>28</v>
      </c>
      <c r="O77" t="str">
        <f t="shared" si="36"/>
        <v>T</v>
      </c>
      <c r="P77" t="str">
        <f t="shared" si="37"/>
        <v>F</v>
      </c>
      <c r="Q77" t="str">
        <f t="shared" si="38"/>
        <v>T</v>
      </c>
      <c r="R77" t="str">
        <f t="shared" si="39"/>
        <v>F</v>
      </c>
      <c r="S77" t="str">
        <f t="shared" si="40"/>
        <v>F</v>
      </c>
      <c r="T77" t="str">
        <f t="shared" si="41"/>
        <v>F</v>
      </c>
      <c r="U77">
        <v>1</v>
      </c>
      <c r="V77">
        <v>5</v>
      </c>
      <c r="W77">
        <v>4</v>
      </c>
    </row>
    <row r="78" spans="1:23" x14ac:dyDescent="0.25">
      <c r="A78" t="s">
        <v>41</v>
      </c>
      <c r="B78" t="s">
        <v>139</v>
      </c>
      <c r="C78" t="s">
        <v>111</v>
      </c>
      <c r="D78" t="s">
        <v>111</v>
      </c>
      <c r="E78" t="s">
        <v>140</v>
      </c>
      <c r="F78" t="str">
        <f t="shared" si="28"/>
        <v>T</v>
      </c>
      <c r="G78" t="str">
        <f t="shared" si="29"/>
        <v>T</v>
      </c>
      <c r="H78" t="str">
        <f t="shared" si="30"/>
        <v>F</v>
      </c>
      <c r="I78" t="str">
        <f t="shared" si="31"/>
        <v>T</v>
      </c>
      <c r="J78" t="str">
        <f t="shared" si="32"/>
        <v>F</v>
      </c>
      <c r="K78" t="str">
        <f t="shared" si="33"/>
        <v>F</v>
      </c>
      <c r="L78" t="str">
        <f t="shared" si="34"/>
        <v>F</v>
      </c>
      <c r="M78" t="str">
        <f t="shared" si="35"/>
        <v>F</v>
      </c>
      <c r="N78" s="10" t="s">
        <v>58</v>
      </c>
      <c r="O78" t="str">
        <f t="shared" si="36"/>
        <v>F</v>
      </c>
      <c r="P78" t="str">
        <f t="shared" si="37"/>
        <v>T</v>
      </c>
      <c r="Q78" t="str">
        <f t="shared" si="38"/>
        <v>F</v>
      </c>
      <c r="R78" t="str">
        <f t="shared" si="39"/>
        <v>F</v>
      </c>
      <c r="S78" t="str">
        <f t="shared" si="40"/>
        <v>T</v>
      </c>
      <c r="T78" t="str">
        <f t="shared" si="41"/>
        <v>F</v>
      </c>
      <c r="U78">
        <v>2</v>
      </c>
      <c r="V78">
        <v>3</v>
      </c>
      <c r="W78">
        <v>1</v>
      </c>
    </row>
    <row r="79" spans="1:23" x14ac:dyDescent="0.25">
      <c r="A79" t="s">
        <v>41</v>
      </c>
      <c r="B79" t="s">
        <v>141</v>
      </c>
      <c r="C79" t="s">
        <v>111</v>
      </c>
      <c r="D79" t="s">
        <v>111</v>
      </c>
      <c r="E79" t="s">
        <v>11</v>
      </c>
      <c r="F79" t="str">
        <f t="shared" si="28"/>
        <v>F</v>
      </c>
      <c r="G79" t="str">
        <f t="shared" si="29"/>
        <v>T</v>
      </c>
      <c r="H79" t="str">
        <f t="shared" si="30"/>
        <v>F</v>
      </c>
      <c r="I79" t="str">
        <f t="shared" si="31"/>
        <v>F</v>
      </c>
      <c r="J79" t="str">
        <f t="shared" si="32"/>
        <v>F</v>
      </c>
      <c r="K79" t="str">
        <f t="shared" si="33"/>
        <v>F</v>
      </c>
      <c r="L79" t="str">
        <f t="shared" si="34"/>
        <v>F</v>
      </c>
      <c r="M79" t="str">
        <f t="shared" si="35"/>
        <v>F</v>
      </c>
      <c r="N79" s="10" t="s">
        <v>93</v>
      </c>
      <c r="O79" t="str">
        <f t="shared" si="36"/>
        <v>F</v>
      </c>
      <c r="P79" t="str">
        <f t="shared" si="37"/>
        <v>F</v>
      </c>
      <c r="Q79" t="str">
        <f t="shared" si="38"/>
        <v>F</v>
      </c>
      <c r="R79" t="str">
        <f t="shared" si="39"/>
        <v>F</v>
      </c>
      <c r="S79" t="str">
        <f t="shared" si="40"/>
        <v>T</v>
      </c>
      <c r="T79" t="str">
        <f t="shared" si="41"/>
        <v>F</v>
      </c>
      <c r="U79">
        <v>2</v>
      </c>
      <c r="V79">
        <v>5</v>
      </c>
      <c r="W79">
        <v>3</v>
      </c>
    </row>
    <row r="80" spans="1:23" x14ac:dyDescent="0.25">
      <c r="A80" t="s">
        <v>41</v>
      </c>
      <c r="B80" t="s">
        <v>142</v>
      </c>
      <c r="C80" t="s">
        <v>111</v>
      </c>
      <c r="D80" t="s">
        <v>111</v>
      </c>
      <c r="E80" t="s">
        <v>11</v>
      </c>
      <c r="F80" t="str">
        <f t="shared" si="28"/>
        <v>F</v>
      </c>
      <c r="G80" t="str">
        <f t="shared" si="29"/>
        <v>T</v>
      </c>
      <c r="H80" t="str">
        <f t="shared" si="30"/>
        <v>F</v>
      </c>
      <c r="I80" t="str">
        <f t="shared" si="31"/>
        <v>F</v>
      </c>
      <c r="J80" t="str">
        <f t="shared" si="32"/>
        <v>F</v>
      </c>
      <c r="K80" t="str">
        <f t="shared" si="33"/>
        <v>F</v>
      </c>
      <c r="L80" t="str">
        <f t="shared" si="34"/>
        <v>F</v>
      </c>
      <c r="M80" t="str">
        <f t="shared" si="35"/>
        <v>F</v>
      </c>
      <c r="N80" s="10" t="s">
        <v>23</v>
      </c>
      <c r="O80" t="str">
        <f t="shared" si="36"/>
        <v>T</v>
      </c>
      <c r="P80" t="str">
        <f t="shared" si="37"/>
        <v>F</v>
      </c>
      <c r="Q80" t="str">
        <f t="shared" si="38"/>
        <v>F</v>
      </c>
      <c r="R80" t="str">
        <f t="shared" si="39"/>
        <v>F</v>
      </c>
      <c r="S80" t="str">
        <f t="shared" si="40"/>
        <v>T</v>
      </c>
      <c r="T80" t="str">
        <f t="shared" si="41"/>
        <v>F</v>
      </c>
      <c r="U80">
        <v>2</v>
      </c>
      <c r="V80">
        <v>3</v>
      </c>
      <c r="W80">
        <v>1</v>
      </c>
    </row>
    <row r="81" spans="1:23" x14ac:dyDescent="0.25">
      <c r="A81" t="s">
        <v>41</v>
      </c>
      <c r="B81" t="s">
        <v>143</v>
      </c>
      <c r="C81" t="s">
        <v>111</v>
      </c>
      <c r="D81" t="s">
        <v>111</v>
      </c>
      <c r="E81" t="s">
        <v>32</v>
      </c>
      <c r="F81" t="str">
        <f t="shared" si="28"/>
        <v>F</v>
      </c>
      <c r="G81" t="str">
        <f t="shared" si="29"/>
        <v>F</v>
      </c>
      <c r="H81" t="str">
        <f t="shared" si="30"/>
        <v>T</v>
      </c>
      <c r="I81" t="str">
        <f t="shared" si="31"/>
        <v>F</v>
      </c>
      <c r="J81" t="str">
        <f t="shared" si="32"/>
        <v>F</v>
      </c>
      <c r="K81" t="str">
        <f t="shared" si="33"/>
        <v>F</v>
      </c>
      <c r="L81" t="str">
        <f t="shared" si="34"/>
        <v>F</v>
      </c>
      <c r="M81" t="str">
        <f t="shared" si="35"/>
        <v>F</v>
      </c>
      <c r="N81" s="10" t="s">
        <v>35</v>
      </c>
      <c r="O81" t="str">
        <f t="shared" si="36"/>
        <v>T</v>
      </c>
      <c r="P81" t="str">
        <f t="shared" si="37"/>
        <v>F</v>
      </c>
      <c r="Q81" t="str">
        <f t="shared" si="38"/>
        <v>F</v>
      </c>
      <c r="R81" t="str">
        <f t="shared" si="39"/>
        <v>F</v>
      </c>
      <c r="S81" t="str">
        <f t="shared" si="40"/>
        <v>F</v>
      </c>
      <c r="T81" t="str">
        <f t="shared" si="41"/>
        <v>F</v>
      </c>
      <c r="U81">
        <v>1</v>
      </c>
      <c r="V81">
        <v>2</v>
      </c>
      <c r="W81">
        <v>1</v>
      </c>
    </row>
    <row r="82" spans="1:23" x14ac:dyDescent="0.25">
      <c r="A82" t="s">
        <v>41</v>
      </c>
      <c r="B82" t="s">
        <v>144</v>
      </c>
      <c r="C82" t="s">
        <v>111</v>
      </c>
      <c r="D82" t="s">
        <v>111</v>
      </c>
      <c r="E82" t="s">
        <v>116</v>
      </c>
      <c r="F82" t="str">
        <f t="shared" si="28"/>
        <v>F</v>
      </c>
      <c r="G82" t="str">
        <f t="shared" si="29"/>
        <v>T</v>
      </c>
      <c r="H82" t="str">
        <f t="shared" si="30"/>
        <v>T</v>
      </c>
      <c r="I82" t="str">
        <f t="shared" si="31"/>
        <v>F</v>
      </c>
      <c r="J82" t="str">
        <f t="shared" si="32"/>
        <v>F</v>
      </c>
      <c r="K82" t="str">
        <f t="shared" si="33"/>
        <v>F</v>
      </c>
      <c r="L82" t="str">
        <f t="shared" si="34"/>
        <v>F</v>
      </c>
      <c r="M82" t="str">
        <f t="shared" si="35"/>
        <v>F</v>
      </c>
      <c r="N82" s="10" t="s">
        <v>35</v>
      </c>
      <c r="O82" t="str">
        <f t="shared" si="36"/>
        <v>T</v>
      </c>
      <c r="P82" t="str">
        <f t="shared" si="37"/>
        <v>F</v>
      </c>
      <c r="Q82" t="str">
        <f t="shared" si="38"/>
        <v>F</v>
      </c>
      <c r="R82" t="str">
        <f t="shared" si="39"/>
        <v>F</v>
      </c>
      <c r="S82" t="str">
        <f t="shared" si="40"/>
        <v>F</v>
      </c>
      <c r="T82" t="str">
        <f t="shared" si="41"/>
        <v>F</v>
      </c>
      <c r="U82">
        <v>1</v>
      </c>
      <c r="V82">
        <v>2</v>
      </c>
      <c r="W82">
        <v>1</v>
      </c>
    </row>
    <row r="83" spans="1:23" x14ac:dyDescent="0.25">
      <c r="A83" t="s">
        <v>41</v>
      </c>
      <c r="B83" t="s">
        <v>145</v>
      </c>
      <c r="C83" t="s">
        <v>111</v>
      </c>
      <c r="D83" t="s">
        <v>111</v>
      </c>
      <c r="E83" t="s">
        <v>32</v>
      </c>
      <c r="F83" t="str">
        <f t="shared" si="28"/>
        <v>F</v>
      </c>
      <c r="G83" t="str">
        <f t="shared" si="29"/>
        <v>F</v>
      </c>
      <c r="H83" t="str">
        <f t="shared" si="30"/>
        <v>T</v>
      </c>
      <c r="I83" t="str">
        <f t="shared" si="31"/>
        <v>F</v>
      </c>
      <c r="J83" t="str">
        <f t="shared" si="32"/>
        <v>F</v>
      </c>
      <c r="K83" t="str">
        <f t="shared" si="33"/>
        <v>F</v>
      </c>
      <c r="L83" t="str">
        <f t="shared" si="34"/>
        <v>F</v>
      </c>
      <c r="M83" t="str">
        <f t="shared" si="35"/>
        <v>F</v>
      </c>
      <c r="N83" s="10" t="s">
        <v>35</v>
      </c>
      <c r="O83" t="str">
        <f t="shared" si="36"/>
        <v>T</v>
      </c>
      <c r="P83" t="str">
        <f t="shared" si="37"/>
        <v>F</v>
      </c>
      <c r="Q83" t="str">
        <f t="shared" si="38"/>
        <v>F</v>
      </c>
      <c r="R83" t="str">
        <f t="shared" si="39"/>
        <v>F</v>
      </c>
      <c r="S83" t="str">
        <f t="shared" si="40"/>
        <v>F</v>
      </c>
      <c r="T83" t="str">
        <f t="shared" si="41"/>
        <v>F</v>
      </c>
      <c r="U83">
        <v>1</v>
      </c>
      <c r="V83">
        <v>4</v>
      </c>
      <c r="W83">
        <v>3</v>
      </c>
    </row>
    <row r="84" spans="1:23" x14ac:dyDescent="0.25">
      <c r="A84" t="s">
        <v>41</v>
      </c>
      <c r="B84" t="s">
        <v>146</v>
      </c>
      <c r="C84" t="s">
        <v>111</v>
      </c>
      <c r="D84" t="s">
        <v>111</v>
      </c>
      <c r="E84" t="s">
        <v>147</v>
      </c>
      <c r="F84" t="str">
        <f t="shared" si="28"/>
        <v>T</v>
      </c>
      <c r="G84" t="str">
        <f t="shared" si="29"/>
        <v>T</v>
      </c>
      <c r="H84" t="str">
        <f t="shared" si="30"/>
        <v>F</v>
      </c>
      <c r="I84" t="str">
        <f t="shared" si="31"/>
        <v>T</v>
      </c>
      <c r="J84" t="str">
        <f t="shared" si="32"/>
        <v>F</v>
      </c>
      <c r="K84" t="str">
        <f t="shared" si="33"/>
        <v>F</v>
      </c>
      <c r="L84" t="str">
        <f t="shared" si="34"/>
        <v>T</v>
      </c>
      <c r="M84" t="str">
        <f t="shared" si="35"/>
        <v>F</v>
      </c>
      <c r="N84" s="10" t="s">
        <v>35</v>
      </c>
      <c r="O84" t="str">
        <f t="shared" si="36"/>
        <v>T</v>
      </c>
      <c r="P84" t="str">
        <f t="shared" si="37"/>
        <v>F</v>
      </c>
      <c r="Q84" t="str">
        <f t="shared" si="38"/>
        <v>F</v>
      </c>
      <c r="R84" t="str">
        <f t="shared" si="39"/>
        <v>F</v>
      </c>
      <c r="S84" t="str">
        <f t="shared" si="40"/>
        <v>F</v>
      </c>
      <c r="T84" t="str">
        <f t="shared" si="41"/>
        <v>F</v>
      </c>
      <c r="U84">
        <v>2</v>
      </c>
      <c r="V84">
        <v>3</v>
      </c>
      <c r="W84">
        <v>1</v>
      </c>
    </row>
    <row r="85" spans="1:23" x14ac:dyDescent="0.25">
      <c r="A85" t="s">
        <v>41</v>
      </c>
      <c r="B85" t="s">
        <v>148</v>
      </c>
      <c r="C85" t="s">
        <v>111</v>
      </c>
      <c r="D85" t="s">
        <v>111</v>
      </c>
      <c r="E85" t="s">
        <v>11</v>
      </c>
      <c r="F85" t="str">
        <f t="shared" si="28"/>
        <v>F</v>
      </c>
      <c r="G85" t="str">
        <f t="shared" si="29"/>
        <v>T</v>
      </c>
      <c r="H85" t="str">
        <f t="shared" si="30"/>
        <v>F</v>
      </c>
      <c r="I85" t="str">
        <f t="shared" si="31"/>
        <v>F</v>
      </c>
      <c r="J85" t="str">
        <f t="shared" si="32"/>
        <v>F</v>
      </c>
      <c r="K85" t="str">
        <f t="shared" si="33"/>
        <v>F</v>
      </c>
      <c r="L85" t="str">
        <f t="shared" si="34"/>
        <v>F</v>
      </c>
      <c r="M85" t="str">
        <f t="shared" si="35"/>
        <v>F</v>
      </c>
      <c r="N85" s="10" t="s">
        <v>44</v>
      </c>
      <c r="O85" t="str">
        <f t="shared" si="36"/>
        <v>F</v>
      </c>
      <c r="P85" t="str">
        <f t="shared" si="37"/>
        <v>T</v>
      </c>
      <c r="Q85" t="str">
        <f t="shared" si="38"/>
        <v>F</v>
      </c>
      <c r="R85" t="str">
        <f t="shared" si="39"/>
        <v>F</v>
      </c>
      <c r="S85" t="str">
        <f t="shared" si="40"/>
        <v>F</v>
      </c>
      <c r="T85" t="str">
        <f t="shared" si="41"/>
        <v>F</v>
      </c>
      <c r="U85">
        <v>2</v>
      </c>
      <c r="V85">
        <v>3</v>
      </c>
      <c r="W85">
        <v>1</v>
      </c>
    </row>
    <row r="86" spans="1:23" x14ac:dyDescent="0.25">
      <c r="A86" t="s">
        <v>149</v>
      </c>
      <c r="B86" t="s">
        <v>150</v>
      </c>
      <c r="C86" t="s">
        <v>151</v>
      </c>
      <c r="D86" t="s">
        <v>151</v>
      </c>
      <c r="E86" t="s">
        <v>11</v>
      </c>
      <c r="F86" t="str">
        <f t="shared" si="28"/>
        <v>F</v>
      </c>
      <c r="G86" t="str">
        <f t="shared" si="29"/>
        <v>T</v>
      </c>
      <c r="H86" t="str">
        <f t="shared" si="30"/>
        <v>F</v>
      </c>
      <c r="I86" t="str">
        <f t="shared" si="31"/>
        <v>F</v>
      </c>
      <c r="J86" t="str">
        <f t="shared" si="32"/>
        <v>F</v>
      </c>
      <c r="K86" t="str">
        <f t="shared" si="33"/>
        <v>F</v>
      </c>
      <c r="L86" t="str">
        <f t="shared" si="34"/>
        <v>F</v>
      </c>
      <c r="M86" t="str">
        <f t="shared" si="35"/>
        <v>F</v>
      </c>
      <c r="N86" s="10" t="s">
        <v>71</v>
      </c>
      <c r="O86" t="str">
        <f t="shared" si="36"/>
        <v>F</v>
      </c>
      <c r="P86" t="str">
        <f t="shared" si="37"/>
        <v>F</v>
      </c>
      <c r="Q86" t="str">
        <f t="shared" si="38"/>
        <v>T</v>
      </c>
      <c r="R86" t="str">
        <f t="shared" si="39"/>
        <v>F</v>
      </c>
      <c r="S86" t="str">
        <f t="shared" si="40"/>
        <v>T</v>
      </c>
      <c r="T86" t="str">
        <f t="shared" si="41"/>
        <v>F</v>
      </c>
      <c r="U86">
        <v>1</v>
      </c>
      <c r="V86">
        <v>2</v>
      </c>
      <c r="W86">
        <v>1</v>
      </c>
    </row>
    <row r="87" spans="1:23" x14ac:dyDescent="0.25">
      <c r="A87" t="s">
        <v>149</v>
      </c>
      <c r="B87" t="s">
        <v>152</v>
      </c>
      <c r="C87" t="s">
        <v>151</v>
      </c>
      <c r="D87" t="s">
        <v>151</v>
      </c>
      <c r="E87" t="s">
        <v>11</v>
      </c>
      <c r="F87" t="str">
        <f t="shared" si="28"/>
        <v>F</v>
      </c>
      <c r="G87" t="str">
        <f t="shared" si="29"/>
        <v>T</v>
      </c>
      <c r="H87" t="str">
        <f t="shared" si="30"/>
        <v>F</v>
      </c>
      <c r="I87" t="str">
        <f t="shared" si="31"/>
        <v>F</v>
      </c>
      <c r="J87" t="str">
        <f t="shared" si="32"/>
        <v>F</v>
      </c>
      <c r="K87" t="str">
        <f t="shared" si="33"/>
        <v>F</v>
      </c>
      <c r="L87" t="str">
        <f t="shared" si="34"/>
        <v>F</v>
      </c>
      <c r="M87" t="str">
        <f t="shared" si="35"/>
        <v>F</v>
      </c>
      <c r="N87" s="10" t="s">
        <v>93</v>
      </c>
      <c r="O87" t="str">
        <f t="shared" si="36"/>
        <v>F</v>
      </c>
      <c r="P87" t="str">
        <f t="shared" si="37"/>
        <v>F</v>
      </c>
      <c r="Q87" t="str">
        <f t="shared" si="38"/>
        <v>F</v>
      </c>
      <c r="R87" t="str">
        <f t="shared" si="39"/>
        <v>F</v>
      </c>
      <c r="S87" t="str">
        <f t="shared" si="40"/>
        <v>T</v>
      </c>
      <c r="T87" t="str">
        <f t="shared" si="41"/>
        <v>F</v>
      </c>
      <c r="U87">
        <v>1</v>
      </c>
      <c r="V87">
        <v>2</v>
      </c>
      <c r="W87">
        <v>1</v>
      </c>
    </row>
    <row r="88" spans="1:23" x14ac:dyDescent="0.25">
      <c r="A88" t="s">
        <v>149</v>
      </c>
      <c r="B88" t="s">
        <v>153</v>
      </c>
      <c r="C88" t="s">
        <v>151</v>
      </c>
      <c r="D88" t="s">
        <v>151</v>
      </c>
      <c r="E88" t="s">
        <v>154</v>
      </c>
      <c r="F88" t="str">
        <f t="shared" si="28"/>
        <v>F</v>
      </c>
      <c r="G88" t="str">
        <f t="shared" si="29"/>
        <v>T</v>
      </c>
      <c r="H88" t="str">
        <f t="shared" si="30"/>
        <v>F</v>
      </c>
      <c r="I88" t="str">
        <f t="shared" si="31"/>
        <v>F</v>
      </c>
      <c r="J88" t="str">
        <f t="shared" si="32"/>
        <v>T</v>
      </c>
      <c r="K88" t="str">
        <f t="shared" si="33"/>
        <v>F</v>
      </c>
      <c r="L88" t="str">
        <f t="shared" si="34"/>
        <v>F</v>
      </c>
      <c r="M88" t="str">
        <f t="shared" si="35"/>
        <v>F</v>
      </c>
      <c r="N88" s="10" t="s">
        <v>93</v>
      </c>
      <c r="O88" t="str">
        <f t="shared" si="36"/>
        <v>F</v>
      </c>
      <c r="P88" t="str">
        <f t="shared" si="37"/>
        <v>F</v>
      </c>
      <c r="Q88" t="str">
        <f t="shared" si="38"/>
        <v>F</v>
      </c>
      <c r="R88" t="str">
        <f t="shared" si="39"/>
        <v>F</v>
      </c>
      <c r="S88" t="str">
        <f t="shared" si="40"/>
        <v>T</v>
      </c>
      <c r="T88" t="str">
        <f t="shared" si="41"/>
        <v>F</v>
      </c>
      <c r="U88">
        <v>1</v>
      </c>
      <c r="V88">
        <v>1</v>
      </c>
      <c r="W88">
        <v>0</v>
      </c>
    </row>
    <row r="89" spans="1:23" x14ac:dyDescent="0.25">
      <c r="A89" t="s">
        <v>149</v>
      </c>
      <c r="B89" t="s">
        <v>155</v>
      </c>
      <c r="C89" t="s">
        <v>151</v>
      </c>
      <c r="D89" t="s">
        <v>151</v>
      </c>
      <c r="E89" t="s">
        <v>64</v>
      </c>
      <c r="F89" t="str">
        <f t="shared" si="28"/>
        <v>F</v>
      </c>
      <c r="G89" t="str">
        <f t="shared" si="29"/>
        <v>F</v>
      </c>
      <c r="H89" t="str">
        <f t="shared" si="30"/>
        <v>F</v>
      </c>
      <c r="I89" t="str">
        <f t="shared" si="31"/>
        <v>F</v>
      </c>
      <c r="J89" t="str">
        <f t="shared" si="32"/>
        <v>F</v>
      </c>
      <c r="K89" t="str">
        <f t="shared" si="33"/>
        <v>F</v>
      </c>
      <c r="L89" t="str">
        <f t="shared" si="34"/>
        <v>F</v>
      </c>
      <c r="M89" t="str">
        <f t="shared" si="35"/>
        <v>T</v>
      </c>
      <c r="N89" s="10" t="s">
        <v>71</v>
      </c>
      <c r="O89" t="str">
        <f t="shared" si="36"/>
        <v>F</v>
      </c>
      <c r="P89" t="str">
        <f t="shared" si="37"/>
        <v>F</v>
      </c>
      <c r="Q89" t="str">
        <f t="shared" si="38"/>
        <v>T</v>
      </c>
      <c r="R89" t="str">
        <f t="shared" si="39"/>
        <v>F</v>
      </c>
      <c r="S89" t="str">
        <f t="shared" si="40"/>
        <v>T</v>
      </c>
      <c r="T89" t="str">
        <f t="shared" si="41"/>
        <v>F</v>
      </c>
      <c r="U89">
        <v>1</v>
      </c>
      <c r="V89">
        <v>2</v>
      </c>
      <c r="W89">
        <v>1</v>
      </c>
    </row>
    <row r="90" spans="1:23" x14ac:dyDescent="0.25">
      <c r="A90" t="s">
        <v>149</v>
      </c>
      <c r="B90" t="s">
        <v>156</v>
      </c>
      <c r="C90" t="s">
        <v>151</v>
      </c>
      <c r="D90" t="s">
        <v>151</v>
      </c>
      <c r="E90" t="s">
        <v>19</v>
      </c>
      <c r="F90" t="str">
        <f t="shared" si="28"/>
        <v>T</v>
      </c>
      <c r="G90" t="str">
        <f t="shared" si="29"/>
        <v>F</v>
      </c>
      <c r="H90" t="str">
        <f t="shared" si="30"/>
        <v>F</v>
      </c>
      <c r="I90" t="str">
        <f t="shared" si="31"/>
        <v>F</v>
      </c>
      <c r="J90" t="str">
        <f t="shared" si="32"/>
        <v>F</v>
      </c>
      <c r="K90" t="str">
        <f t="shared" si="33"/>
        <v>F</v>
      </c>
      <c r="L90" t="str">
        <f t="shared" si="34"/>
        <v>F</v>
      </c>
      <c r="M90" t="str">
        <f t="shared" si="35"/>
        <v>F</v>
      </c>
      <c r="N90" s="10" t="s">
        <v>104</v>
      </c>
      <c r="O90" t="str">
        <f t="shared" si="36"/>
        <v>F</v>
      </c>
      <c r="P90" t="str">
        <f t="shared" si="37"/>
        <v>F</v>
      </c>
      <c r="Q90" t="str">
        <f t="shared" si="38"/>
        <v>F</v>
      </c>
      <c r="R90" t="str">
        <f t="shared" si="39"/>
        <v>F</v>
      </c>
      <c r="S90" t="str">
        <f t="shared" si="40"/>
        <v>T</v>
      </c>
      <c r="T90" t="str">
        <f t="shared" si="41"/>
        <v>T</v>
      </c>
      <c r="U90">
        <v>2</v>
      </c>
      <c r="V90">
        <v>2</v>
      </c>
      <c r="W90">
        <v>0</v>
      </c>
    </row>
    <row r="91" spans="1:23" x14ac:dyDescent="0.25">
      <c r="A91" t="s">
        <v>149</v>
      </c>
      <c r="B91" t="s">
        <v>157</v>
      </c>
      <c r="C91" t="s">
        <v>151</v>
      </c>
      <c r="D91" t="s">
        <v>151</v>
      </c>
      <c r="E91" t="s">
        <v>158</v>
      </c>
      <c r="F91" t="str">
        <f t="shared" si="28"/>
        <v>F</v>
      </c>
      <c r="G91" t="str">
        <f t="shared" si="29"/>
        <v>F</v>
      </c>
      <c r="H91" t="str">
        <f t="shared" si="30"/>
        <v>F</v>
      </c>
      <c r="I91" t="str">
        <f t="shared" si="31"/>
        <v>F</v>
      </c>
      <c r="J91" t="str">
        <f t="shared" si="32"/>
        <v>T</v>
      </c>
      <c r="K91" t="str">
        <f t="shared" si="33"/>
        <v>F</v>
      </c>
      <c r="L91" t="str">
        <f t="shared" si="34"/>
        <v>F</v>
      </c>
      <c r="M91" t="str">
        <f t="shared" si="35"/>
        <v>F</v>
      </c>
      <c r="N91" s="10" t="s">
        <v>93</v>
      </c>
      <c r="O91" t="str">
        <f t="shared" si="36"/>
        <v>F</v>
      </c>
      <c r="P91" t="str">
        <f t="shared" si="37"/>
        <v>F</v>
      </c>
      <c r="Q91" t="str">
        <f t="shared" si="38"/>
        <v>F</v>
      </c>
      <c r="R91" t="str">
        <f t="shared" si="39"/>
        <v>F</v>
      </c>
      <c r="S91" t="str">
        <f t="shared" si="40"/>
        <v>T</v>
      </c>
      <c r="T91" t="str">
        <f t="shared" si="41"/>
        <v>F</v>
      </c>
      <c r="U91">
        <v>1</v>
      </c>
      <c r="V91">
        <v>2</v>
      </c>
      <c r="W91">
        <v>1</v>
      </c>
    </row>
    <row r="92" spans="1:23" x14ac:dyDescent="0.25">
      <c r="A92" t="s">
        <v>149</v>
      </c>
      <c r="B92" t="s">
        <v>159</v>
      </c>
      <c r="C92" t="s">
        <v>151</v>
      </c>
      <c r="D92" t="s">
        <v>151</v>
      </c>
      <c r="E92" t="s">
        <v>11</v>
      </c>
      <c r="F92" t="str">
        <f t="shared" si="28"/>
        <v>F</v>
      </c>
      <c r="G92" t="str">
        <f t="shared" si="29"/>
        <v>T</v>
      </c>
      <c r="H92" t="str">
        <f t="shared" si="30"/>
        <v>F</v>
      </c>
      <c r="I92" t="str">
        <f t="shared" si="31"/>
        <v>F</v>
      </c>
      <c r="J92" t="str">
        <f t="shared" si="32"/>
        <v>F</v>
      </c>
      <c r="K92" t="str">
        <f t="shared" si="33"/>
        <v>F</v>
      </c>
      <c r="L92" t="str">
        <f t="shared" si="34"/>
        <v>F</v>
      </c>
      <c r="M92" t="str">
        <f t="shared" si="35"/>
        <v>F</v>
      </c>
      <c r="N92" s="10" t="s">
        <v>93</v>
      </c>
      <c r="O92" t="str">
        <f t="shared" si="36"/>
        <v>F</v>
      </c>
      <c r="P92" t="str">
        <f t="shared" si="37"/>
        <v>F</v>
      </c>
      <c r="Q92" t="str">
        <f t="shared" si="38"/>
        <v>F</v>
      </c>
      <c r="R92" t="str">
        <f t="shared" si="39"/>
        <v>F</v>
      </c>
      <c r="S92" t="str">
        <f t="shared" si="40"/>
        <v>T</v>
      </c>
      <c r="T92" t="str">
        <f t="shared" si="41"/>
        <v>F</v>
      </c>
      <c r="U92">
        <v>1</v>
      </c>
      <c r="V92">
        <v>1</v>
      </c>
      <c r="W92">
        <v>0</v>
      </c>
    </row>
    <row r="93" spans="1:23" x14ac:dyDescent="0.25">
      <c r="A93" t="s">
        <v>149</v>
      </c>
      <c r="B93" t="s">
        <v>160</v>
      </c>
      <c r="C93" t="s">
        <v>161</v>
      </c>
      <c r="D93" t="s">
        <v>161</v>
      </c>
      <c r="E93" t="s">
        <v>19</v>
      </c>
      <c r="F93" t="str">
        <f t="shared" si="28"/>
        <v>T</v>
      </c>
      <c r="G93" t="str">
        <f t="shared" si="29"/>
        <v>F</v>
      </c>
      <c r="H93" t="str">
        <f t="shared" si="30"/>
        <v>F</v>
      </c>
      <c r="I93" t="str">
        <f t="shared" si="31"/>
        <v>F</v>
      </c>
      <c r="J93" t="str">
        <f t="shared" si="32"/>
        <v>F</v>
      </c>
      <c r="K93" t="str">
        <f t="shared" si="33"/>
        <v>F</v>
      </c>
      <c r="L93" t="str">
        <f t="shared" si="34"/>
        <v>F</v>
      </c>
      <c r="M93" t="str">
        <f t="shared" si="35"/>
        <v>F</v>
      </c>
      <c r="N93" s="10" t="s">
        <v>77</v>
      </c>
      <c r="O93" t="str">
        <f t="shared" si="36"/>
        <v>F</v>
      </c>
      <c r="P93" t="str">
        <f t="shared" si="37"/>
        <v>T</v>
      </c>
      <c r="Q93" t="str">
        <f t="shared" si="38"/>
        <v>F</v>
      </c>
      <c r="R93" t="str">
        <f t="shared" si="39"/>
        <v>F</v>
      </c>
      <c r="S93" t="str">
        <f t="shared" si="40"/>
        <v>T</v>
      </c>
      <c r="T93" t="str">
        <f t="shared" si="41"/>
        <v>F</v>
      </c>
      <c r="U93">
        <v>1</v>
      </c>
      <c r="V93">
        <v>2</v>
      </c>
      <c r="W93">
        <v>1</v>
      </c>
    </row>
    <row r="94" spans="1:23" x14ac:dyDescent="0.25">
      <c r="A94" t="s">
        <v>149</v>
      </c>
      <c r="B94" t="s">
        <v>162</v>
      </c>
      <c r="C94" t="s">
        <v>161</v>
      </c>
      <c r="D94" t="s">
        <v>161</v>
      </c>
      <c r="E94" t="s">
        <v>158</v>
      </c>
      <c r="F94" t="str">
        <f t="shared" si="28"/>
        <v>F</v>
      </c>
      <c r="G94" t="str">
        <f t="shared" si="29"/>
        <v>F</v>
      </c>
      <c r="H94" t="str">
        <f t="shared" si="30"/>
        <v>F</v>
      </c>
      <c r="I94" t="str">
        <f t="shared" si="31"/>
        <v>F</v>
      </c>
      <c r="J94" t="str">
        <f t="shared" si="32"/>
        <v>T</v>
      </c>
      <c r="K94" t="str">
        <f t="shared" si="33"/>
        <v>F</v>
      </c>
      <c r="L94" t="str">
        <f t="shared" si="34"/>
        <v>F</v>
      </c>
      <c r="M94" t="str">
        <f t="shared" si="35"/>
        <v>F</v>
      </c>
      <c r="N94" s="10" t="s">
        <v>23</v>
      </c>
      <c r="O94" t="str">
        <f t="shared" si="36"/>
        <v>T</v>
      </c>
      <c r="P94" t="str">
        <f t="shared" si="37"/>
        <v>F</v>
      </c>
      <c r="Q94" t="str">
        <f t="shared" si="38"/>
        <v>F</v>
      </c>
      <c r="R94" t="str">
        <f t="shared" si="39"/>
        <v>F</v>
      </c>
      <c r="S94" t="str">
        <f t="shared" si="40"/>
        <v>T</v>
      </c>
      <c r="T94" t="str">
        <f t="shared" si="41"/>
        <v>F</v>
      </c>
      <c r="U94">
        <v>1</v>
      </c>
      <c r="V94">
        <v>2</v>
      </c>
      <c r="W94">
        <v>1</v>
      </c>
    </row>
    <row r="95" spans="1:23" x14ac:dyDescent="0.25">
      <c r="A95" t="s">
        <v>149</v>
      </c>
      <c r="B95" t="s">
        <v>163</v>
      </c>
      <c r="C95" t="s">
        <v>161</v>
      </c>
      <c r="D95" t="s">
        <v>161</v>
      </c>
      <c r="E95" t="s">
        <v>11</v>
      </c>
      <c r="F95" t="str">
        <f t="shared" si="28"/>
        <v>F</v>
      </c>
      <c r="G95" t="str">
        <f t="shared" si="29"/>
        <v>T</v>
      </c>
      <c r="H95" t="str">
        <f t="shared" si="30"/>
        <v>F</v>
      </c>
      <c r="I95" t="str">
        <f t="shared" si="31"/>
        <v>F</v>
      </c>
      <c r="J95" t="str">
        <f t="shared" si="32"/>
        <v>F</v>
      </c>
      <c r="K95" t="str">
        <f t="shared" si="33"/>
        <v>F</v>
      </c>
      <c r="L95" t="str">
        <f t="shared" si="34"/>
        <v>F</v>
      </c>
      <c r="M95" t="str">
        <f t="shared" si="35"/>
        <v>F</v>
      </c>
      <c r="N95" s="10" t="s">
        <v>77</v>
      </c>
      <c r="O95" t="str">
        <f t="shared" si="36"/>
        <v>F</v>
      </c>
      <c r="P95" t="str">
        <f t="shared" si="37"/>
        <v>T</v>
      </c>
      <c r="Q95" t="str">
        <f t="shared" si="38"/>
        <v>F</v>
      </c>
      <c r="R95" t="str">
        <f t="shared" si="39"/>
        <v>F</v>
      </c>
      <c r="S95" t="str">
        <f t="shared" si="40"/>
        <v>T</v>
      </c>
      <c r="T95" t="str">
        <f t="shared" si="41"/>
        <v>F</v>
      </c>
      <c r="U95">
        <v>1</v>
      </c>
      <c r="V95">
        <v>2</v>
      </c>
      <c r="W95">
        <v>1</v>
      </c>
    </row>
    <row r="96" spans="1:23" x14ac:dyDescent="0.25">
      <c r="A96" t="s">
        <v>149</v>
      </c>
      <c r="B96" t="s">
        <v>164</v>
      </c>
      <c r="C96" t="s">
        <v>161</v>
      </c>
      <c r="D96" t="s">
        <v>161</v>
      </c>
      <c r="E96" t="s">
        <v>19</v>
      </c>
      <c r="F96" t="str">
        <f t="shared" si="28"/>
        <v>T</v>
      </c>
      <c r="G96" t="str">
        <f t="shared" si="29"/>
        <v>F</v>
      </c>
      <c r="H96" t="str">
        <f t="shared" si="30"/>
        <v>F</v>
      </c>
      <c r="I96" t="str">
        <f t="shared" si="31"/>
        <v>F</v>
      </c>
      <c r="J96" t="str">
        <f t="shared" si="32"/>
        <v>F</v>
      </c>
      <c r="K96" t="str">
        <f t="shared" si="33"/>
        <v>F</v>
      </c>
      <c r="L96" t="str">
        <f t="shared" si="34"/>
        <v>F</v>
      </c>
      <c r="M96" t="str">
        <f t="shared" si="35"/>
        <v>F</v>
      </c>
      <c r="N96" s="10" t="s">
        <v>91</v>
      </c>
      <c r="O96" t="str">
        <f t="shared" si="36"/>
        <v>F</v>
      </c>
      <c r="P96" t="str">
        <f t="shared" si="37"/>
        <v>T</v>
      </c>
      <c r="Q96" t="str">
        <f t="shared" si="38"/>
        <v>F</v>
      </c>
      <c r="R96" t="str">
        <f t="shared" si="39"/>
        <v>F</v>
      </c>
      <c r="S96" t="str">
        <f t="shared" si="40"/>
        <v>T</v>
      </c>
      <c r="T96" t="str">
        <f t="shared" si="41"/>
        <v>T</v>
      </c>
      <c r="U96">
        <v>2</v>
      </c>
      <c r="V96">
        <v>2</v>
      </c>
      <c r="W96">
        <v>0</v>
      </c>
    </row>
    <row r="97" spans="1:23" x14ac:dyDescent="0.25">
      <c r="A97" t="s">
        <v>149</v>
      </c>
      <c r="B97" t="s">
        <v>165</v>
      </c>
      <c r="C97" t="s">
        <v>161</v>
      </c>
      <c r="D97" t="s">
        <v>161</v>
      </c>
      <c r="E97" t="s">
        <v>19</v>
      </c>
      <c r="F97" t="str">
        <f t="shared" si="28"/>
        <v>T</v>
      </c>
      <c r="G97" t="str">
        <f t="shared" si="29"/>
        <v>F</v>
      </c>
      <c r="H97" t="str">
        <f t="shared" si="30"/>
        <v>F</v>
      </c>
      <c r="I97" t="str">
        <f t="shared" si="31"/>
        <v>F</v>
      </c>
      <c r="J97" t="str">
        <f t="shared" si="32"/>
        <v>F</v>
      </c>
      <c r="K97" t="str">
        <f t="shared" si="33"/>
        <v>F</v>
      </c>
      <c r="L97" t="str">
        <f t="shared" si="34"/>
        <v>F</v>
      </c>
      <c r="M97" t="str">
        <f t="shared" si="35"/>
        <v>F</v>
      </c>
      <c r="N97" s="10" t="s">
        <v>91</v>
      </c>
      <c r="O97" t="str">
        <f t="shared" si="36"/>
        <v>F</v>
      </c>
      <c r="P97" t="str">
        <f t="shared" si="37"/>
        <v>T</v>
      </c>
      <c r="Q97" t="str">
        <f t="shared" si="38"/>
        <v>F</v>
      </c>
      <c r="R97" t="str">
        <f t="shared" si="39"/>
        <v>F</v>
      </c>
      <c r="S97" t="str">
        <f t="shared" si="40"/>
        <v>T</v>
      </c>
      <c r="T97" t="str">
        <f t="shared" si="41"/>
        <v>T</v>
      </c>
      <c r="U97">
        <v>1</v>
      </c>
      <c r="V97">
        <v>2</v>
      </c>
      <c r="W97">
        <v>1</v>
      </c>
    </row>
    <row r="98" spans="1:23" x14ac:dyDescent="0.25">
      <c r="A98" t="s">
        <v>149</v>
      </c>
      <c r="B98" t="s">
        <v>166</v>
      </c>
      <c r="C98" t="s">
        <v>161</v>
      </c>
      <c r="D98" t="s">
        <v>161</v>
      </c>
      <c r="E98" t="s">
        <v>25</v>
      </c>
      <c r="F98" t="str">
        <f t="shared" ref="F98:F133" si="42">IF(ISNUMBER(SEARCH("Academic Policies", $E98)), "T", "F")</f>
        <v>T</v>
      </c>
      <c r="G98" t="str">
        <f t="shared" ref="G98:G133" si="43">IF(ISNUMBER(SEARCH("Campus Life", $E98)), "T", "F")</f>
        <v>T</v>
      </c>
      <c r="H98" t="str">
        <f t="shared" ref="H98:H133" si="44">IF(ISNUMBER(SEARCH("Student Government", $E98)), "T", "F")</f>
        <v>T</v>
      </c>
      <c r="I98" t="str">
        <f t="shared" ref="I98:I133" si="45">IF(ISNUMBER(SEARCH("Financial/Administrative Decisions", $E98)), "T", "F")</f>
        <v>F</v>
      </c>
      <c r="J98" t="str">
        <f t="shared" ref="J98:J133" si="46">IF(ISNUMBER(SEARCH("Diversity, Equity &amp; Inclusion", $E98)), "T", "F")</f>
        <v>F</v>
      </c>
      <c r="K98" t="str">
        <f t="shared" ref="K98:K133" si="47">IF(ISNUMBER(SEARCH("Activism/Social Movements", $E98)), "T", "F")</f>
        <v>F</v>
      </c>
      <c r="L98" t="str">
        <f t="shared" ref="L98:L133" si="48">IF(ISNUMBER(SEARCH("Facilities/Infrastructure", $E98)), "T", "F")</f>
        <v>F</v>
      </c>
      <c r="M98" t="str">
        <f t="shared" ref="M98:M133" si="49">IF(ISNUMBER(SEARCH("Faculty/Staff Relations", $E98)), "T", "F")</f>
        <v>F</v>
      </c>
      <c r="N98" s="10" t="s">
        <v>15</v>
      </c>
      <c r="O98" t="str">
        <f t="shared" ref="O98:O133" si="50">IF(ISNUMBER(SEARCH("Student government leaders or members", $N98)), "T", "F")</f>
        <v>T</v>
      </c>
      <c r="P98" t="str">
        <f t="shared" ref="P98:P133" si="51">IF(ISNUMBER(SEARCH("Individual students", $N98)), "T", "F")</f>
        <v>T</v>
      </c>
      <c r="Q98" t="str">
        <f t="shared" ref="Q98:Q133" si="52">IF(ISNUMBER(SEARCH("Student organizations or groups", $N98)), "T", "F")</f>
        <v>F</v>
      </c>
      <c r="R98" t="str">
        <f t="shared" ref="R98:R133" si="53">IF(ISNUMBER(SEARCH("Alumni", $N98)), "T", "F")</f>
        <v>F</v>
      </c>
      <c r="S98" t="str">
        <f t="shared" ref="S98:S133" si="54">IF(ISNUMBER(SEARCH("Administrators", $N98)), "T", "F")</f>
        <v>T</v>
      </c>
      <c r="T98" t="str">
        <f t="shared" ref="T98:T133" si="55">IF(ISNUMBER(SEARCH("Faculty", $N98)), "T", "F")</f>
        <v>F</v>
      </c>
      <c r="U98">
        <v>2</v>
      </c>
      <c r="V98">
        <v>2</v>
      </c>
      <c r="W98">
        <v>0</v>
      </c>
    </row>
    <row r="99" spans="1:23" x14ac:dyDescent="0.25">
      <c r="A99" t="s">
        <v>149</v>
      </c>
      <c r="B99" t="s">
        <v>167</v>
      </c>
      <c r="C99" t="s">
        <v>161</v>
      </c>
      <c r="D99" t="s">
        <v>161</v>
      </c>
      <c r="E99" t="s">
        <v>11</v>
      </c>
      <c r="F99" t="str">
        <f t="shared" si="42"/>
        <v>F</v>
      </c>
      <c r="G99" t="str">
        <f t="shared" si="43"/>
        <v>T</v>
      </c>
      <c r="H99" t="str">
        <f t="shared" si="44"/>
        <v>F</v>
      </c>
      <c r="I99" t="str">
        <f t="shared" si="45"/>
        <v>F</v>
      </c>
      <c r="J99" t="str">
        <f t="shared" si="46"/>
        <v>F</v>
      </c>
      <c r="K99" t="str">
        <f t="shared" si="47"/>
        <v>F</v>
      </c>
      <c r="L99" t="str">
        <f t="shared" si="48"/>
        <v>F</v>
      </c>
      <c r="M99" t="str">
        <f t="shared" si="49"/>
        <v>F</v>
      </c>
      <c r="N99" s="10" t="s">
        <v>40</v>
      </c>
      <c r="O99" t="str">
        <f t="shared" si="50"/>
        <v>F</v>
      </c>
      <c r="P99" t="str">
        <f t="shared" si="51"/>
        <v>F</v>
      </c>
      <c r="Q99" t="str">
        <f t="shared" si="52"/>
        <v>T</v>
      </c>
      <c r="R99" t="str">
        <f t="shared" si="53"/>
        <v>F</v>
      </c>
      <c r="S99" t="str">
        <f t="shared" si="54"/>
        <v>F</v>
      </c>
      <c r="T99" t="str">
        <f t="shared" si="55"/>
        <v>F</v>
      </c>
      <c r="U99">
        <v>1</v>
      </c>
      <c r="V99">
        <v>2</v>
      </c>
      <c r="W99">
        <v>1</v>
      </c>
    </row>
    <row r="100" spans="1:23" x14ac:dyDescent="0.25">
      <c r="A100" t="s">
        <v>149</v>
      </c>
      <c r="B100" t="s">
        <v>168</v>
      </c>
      <c r="C100" t="s">
        <v>161</v>
      </c>
      <c r="D100" t="s">
        <v>161</v>
      </c>
      <c r="E100" t="s">
        <v>11</v>
      </c>
      <c r="F100" t="str">
        <f t="shared" si="42"/>
        <v>F</v>
      </c>
      <c r="G100" t="str">
        <f t="shared" si="43"/>
        <v>T</v>
      </c>
      <c r="H100" t="str">
        <f t="shared" si="44"/>
        <v>F</v>
      </c>
      <c r="I100" t="str">
        <f t="shared" si="45"/>
        <v>F</v>
      </c>
      <c r="J100" t="str">
        <f t="shared" si="46"/>
        <v>F</v>
      </c>
      <c r="K100" t="str">
        <f t="shared" si="47"/>
        <v>F</v>
      </c>
      <c r="L100" t="str">
        <f t="shared" si="48"/>
        <v>F</v>
      </c>
      <c r="M100" t="str">
        <f t="shared" si="49"/>
        <v>F</v>
      </c>
      <c r="N100" s="10" t="s">
        <v>40</v>
      </c>
      <c r="O100" t="str">
        <f t="shared" si="50"/>
        <v>F</v>
      </c>
      <c r="P100" t="str">
        <f t="shared" si="51"/>
        <v>F</v>
      </c>
      <c r="Q100" t="str">
        <f t="shared" si="52"/>
        <v>T</v>
      </c>
      <c r="R100" t="str">
        <f t="shared" si="53"/>
        <v>F</v>
      </c>
      <c r="S100" t="str">
        <f t="shared" si="54"/>
        <v>F</v>
      </c>
      <c r="T100" t="str">
        <f t="shared" si="55"/>
        <v>F</v>
      </c>
      <c r="U100">
        <v>1</v>
      </c>
      <c r="V100">
        <v>5</v>
      </c>
      <c r="W100">
        <v>4</v>
      </c>
    </row>
    <row r="101" spans="1:23" x14ac:dyDescent="0.25">
      <c r="A101" t="s">
        <v>149</v>
      </c>
      <c r="B101" t="s">
        <v>169</v>
      </c>
      <c r="C101" t="s">
        <v>161</v>
      </c>
      <c r="D101" t="s">
        <v>161</v>
      </c>
      <c r="E101" t="s">
        <v>11</v>
      </c>
      <c r="F101" t="str">
        <f t="shared" si="42"/>
        <v>F</v>
      </c>
      <c r="G101" t="str">
        <f t="shared" si="43"/>
        <v>T</v>
      </c>
      <c r="H101" t="str">
        <f t="shared" si="44"/>
        <v>F</v>
      </c>
      <c r="I101" t="str">
        <f t="shared" si="45"/>
        <v>F</v>
      </c>
      <c r="J101" t="str">
        <f t="shared" si="46"/>
        <v>F</v>
      </c>
      <c r="K101" t="str">
        <f t="shared" si="47"/>
        <v>F</v>
      </c>
      <c r="L101" t="str">
        <f t="shared" si="48"/>
        <v>F</v>
      </c>
      <c r="M101" t="str">
        <f t="shared" si="49"/>
        <v>F</v>
      </c>
      <c r="N101" s="10" t="s">
        <v>77</v>
      </c>
      <c r="O101" t="str">
        <f t="shared" si="50"/>
        <v>F</v>
      </c>
      <c r="P101" t="str">
        <f t="shared" si="51"/>
        <v>T</v>
      </c>
      <c r="Q101" t="str">
        <f t="shared" si="52"/>
        <v>F</v>
      </c>
      <c r="R101" t="str">
        <f t="shared" si="53"/>
        <v>F</v>
      </c>
      <c r="S101" t="str">
        <f t="shared" si="54"/>
        <v>T</v>
      </c>
      <c r="T101" t="str">
        <f t="shared" si="55"/>
        <v>F</v>
      </c>
      <c r="U101">
        <v>1</v>
      </c>
      <c r="V101">
        <v>2</v>
      </c>
      <c r="W101">
        <v>1</v>
      </c>
    </row>
    <row r="102" spans="1:23" x14ac:dyDescent="0.25">
      <c r="A102" t="s">
        <v>149</v>
      </c>
      <c r="B102" t="s">
        <v>170</v>
      </c>
      <c r="C102" t="s">
        <v>161</v>
      </c>
      <c r="D102" t="s">
        <v>161</v>
      </c>
      <c r="E102" t="s">
        <v>11</v>
      </c>
      <c r="F102" t="str">
        <f t="shared" si="42"/>
        <v>F</v>
      </c>
      <c r="G102" t="str">
        <f t="shared" si="43"/>
        <v>T</v>
      </c>
      <c r="H102" t="str">
        <f t="shared" si="44"/>
        <v>F</v>
      </c>
      <c r="I102" t="str">
        <f t="shared" si="45"/>
        <v>F</v>
      </c>
      <c r="J102" t="str">
        <f t="shared" si="46"/>
        <v>F</v>
      </c>
      <c r="K102" t="str">
        <f t="shared" si="47"/>
        <v>F</v>
      </c>
      <c r="L102" t="str">
        <f t="shared" si="48"/>
        <v>F</v>
      </c>
      <c r="M102" t="str">
        <f t="shared" si="49"/>
        <v>F</v>
      </c>
      <c r="N102" s="10" t="s">
        <v>77</v>
      </c>
      <c r="O102" t="str">
        <f t="shared" si="50"/>
        <v>F</v>
      </c>
      <c r="P102" t="str">
        <f t="shared" si="51"/>
        <v>T</v>
      </c>
      <c r="Q102" t="str">
        <f t="shared" si="52"/>
        <v>F</v>
      </c>
      <c r="R102" t="str">
        <f t="shared" si="53"/>
        <v>F</v>
      </c>
      <c r="S102" t="str">
        <f t="shared" si="54"/>
        <v>T</v>
      </c>
      <c r="T102" t="str">
        <f t="shared" si="55"/>
        <v>F</v>
      </c>
      <c r="U102">
        <v>1</v>
      </c>
      <c r="V102">
        <v>2</v>
      </c>
      <c r="W102">
        <v>1</v>
      </c>
    </row>
    <row r="103" spans="1:23" x14ac:dyDescent="0.25">
      <c r="A103" t="s">
        <v>149</v>
      </c>
      <c r="B103" t="s">
        <v>171</v>
      </c>
      <c r="C103" t="s">
        <v>161</v>
      </c>
      <c r="D103" t="s">
        <v>161</v>
      </c>
      <c r="E103" t="s">
        <v>158</v>
      </c>
      <c r="F103" t="str">
        <f t="shared" si="42"/>
        <v>F</v>
      </c>
      <c r="G103" t="str">
        <f t="shared" si="43"/>
        <v>F</v>
      </c>
      <c r="H103" t="str">
        <f t="shared" si="44"/>
        <v>F</v>
      </c>
      <c r="I103" t="str">
        <f t="shared" si="45"/>
        <v>F</v>
      </c>
      <c r="J103" t="str">
        <f t="shared" si="46"/>
        <v>T</v>
      </c>
      <c r="K103" t="str">
        <f t="shared" si="47"/>
        <v>F</v>
      </c>
      <c r="L103" t="str">
        <f t="shared" si="48"/>
        <v>F</v>
      </c>
      <c r="M103" t="str">
        <f t="shared" si="49"/>
        <v>F</v>
      </c>
      <c r="N103" s="10" t="s">
        <v>77</v>
      </c>
      <c r="O103" t="str">
        <f t="shared" si="50"/>
        <v>F</v>
      </c>
      <c r="P103" t="str">
        <f t="shared" si="51"/>
        <v>T</v>
      </c>
      <c r="Q103" t="str">
        <f t="shared" si="52"/>
        <v>F</v>
      </c>
      <c r="R103" t="str">
        <f t="shared" si="53"/>
        <v>F</v>
      </c>
      <c r="S103" t="str">
        <f t="shared" si="54"/>
        <v>T</v>
      </c>
      <c r="T103" t="str">
        <f t="shared" si="55"/>
        <v>F</v>
      </c>
      <c r="U103">
        <v>1</v>
      </c>
      <c r="V103">
        <v>2</v>
      </c>
      <c r="W103">
        <v>1</v>
      </c>
    </row>
    <row r="104" spans="1:23" x14ac:dyDescent="0.25">
      <c r="A104" t="s">
        <v>149</v>
      </c>
      <c r="B104" t="s">
        <v>172</v>
      </c>
      <c r="C104" t="s">
        <v>173</v>
      </c>
      <c r="D104" t="s">
        <v>173</v>
      </c>
      <c r="E104" t="s">
        <v>174</v>
      </c>
      <c r="F104" t="str">
        <f t="shared" si="42"/>
        <v>T</v>
      </c>
      <c r="G104" t="str">
        <f t="shared" si="43"/>
        <v>F</v>
      </c>
      <c r="H104" t="str">
        <f t="shared" si="44"/>
        <v>F</v>
      </c>
      <c r="I104" t="str">
        <f t="shared" si="45"/>
        <v>T</v>
      </c>
      <c r="J104" t="str">
        <f t="shared" si="46"/>
        <v>T</v>
      </c>
      <c r="K104" t="str">
        <f t="shared" si="47"/>
        <v>F</v>
      </c>
      <c r="L104" t="str">
        <f t="shared" si="48"/>
        <v>F</v>
      </c>
      <c r="M104" t="str">
        <f t="shared" si="49"/>
        <v>F</v>
      </c>
      <c r="N104" s="10" t="s">
        <v>175</v>
      </c>
      <c r="O104" t="str">
        <f t="shared" si="50"/>
        <v>F</v>
      </c>
      <c r="P104" t="str">
        <f t="shared" si="51"/>
        <v>F</v>
      </c>
      <c r="Q104" t="str">
        <f t="shared" si="52"/>
        <v>T</v>
      </c>
      <c r="R104" t="str">
        <f t="shared" si="53"/>
        <v>F</v>
      </c>
      <c r="S104" t="str">
        <f t="shared" si="54"/>
        <v>T</v>
      </c>
      <c r="T104" t="str">
        <f t="shared" si="55"/>
        <v>T</v>
      </c>
      <c r="U104">
        <v>2</v>
      </c>
      <c r="V104">
        <v>5</v>
      </c>
      <c r="W104">
        <v>3</v>
      </c>
    </row>
    <row r="105" spans="1:23" x14ac:dyDescent="0.25">
      <c r="A105" t="s">
        <v>149</v>
      </c>
      <c r="B105" t="s">
        <v>176</v>
      </c>
      <c r="C105" t="s">
        <v>173</v>
      </c>
      <c r="D105" t="s">
        <v>173</v>
      </c>
      <c r="E105" t="s">
        <v>11</v>
      </c>
      <c r="F105" t="str">
        <f t="shared" si="42"/>
        <v>F</v>
      </c>
      <c r="G105" t="str">
        <f t="shared" si="43"/>
        <v>T</v>
      </c>
      <c r="H105" t="str">
        <f t="shared" si="44"/>
        <v>F</v>
      </c>
      <c r="I105" t="str">
        <f t="shared" si="45"/>
        <v>F</v>
      </c>
      <c r="J105" t="str">
        <f t="shared" si="46"/>
        <v>F</v>
      </c>
      <c r="K105" t="str">
        <f t="shared" si="47"/>
        <v>F</v>
      </c>
      <c r="L105" t="str">
        <f t="shared" si="48"/>
        <v>F</v>
      </c>
      <c r="M105" t="str">
        <f t="shared" si="49"/>
        <v>F</v>
      </c>
      <c r="N105" s="10" t="s">
        <v>91</v>
      </c>
      <c r="O105" t="str">
        <f t="shared" si="50"/>
        <v>F</v>
      </c>
      <c r="P105" t="str">
        <f t="shared" si="51"/>
        <v>T</v>
      </c>
      <c r="Q105" t="str">
        <f t="shared" si="52"/>
        <v>F</v>
      </c>
      <c r="R105" t="str">
        <f t="shared" si="53"/>
        <v>F</v>
      </c>
      <c r="S105" t="str">
        <f t="shared" si="54"/>
        <v>T</v>
      </c>
      <c r="T105" t="str">
        <f t="shared" si="55"/>
        <v>T</v>
      </c>
      <c r="U105">
        <v>2</v>
      </c>
      <c r="V105">
        <v>2</v>
      </c>
      <c r="W105">
        <v>0</v>
      </c>
    </row>
    <row r="106" spans="1:23" x14ac:dyDescent="0.25">
      <c r="A106" t="s">
        <v>149</v>
      </c>
      <c r="B106" t="s">
        <v>177</v>
      </c>
      <c r="C106" t="s">
        <v>173</v>
      </c>
      <c r="D106" t="s">
        <v>173</v>
      </c>
      <c r="E106" t="s">
        <v>11</v>
      </c>
      <c r="F106" t="str">
        <f t="shared" si="42"/>
        <v>F</v>
      </c>
      <c r="G106" t="str">
        <f t="shared" si="43"/>
        <v>T</v>
      </c>
      <c r="H106" t="str">
        <f t="shared" si="44"/>
        <v>F</v>
      </c>
      <c r="I106" t="str">
        <f t="shared" si="45"/>
        <v>F</v>
      </c>
      <c r="J106" t="str">
        <f t="shared" si="46"/>
        <v>F</v>
      </c>
      <c r="K106" t="str">
        <f t="shared" si="47"/>
        <v>F</v>
      </c>
      <c r="L106" t="str">
        <f t="shared" si="48"/>
        <v>F</v>
      </c>
      <c r="M106" t="str">
        <f t="shared" si="49"/>
        <v>F</v>
      </c>
      <c r="N106" s="10" t="s">
        <v>40</v>
      </c>
      <c r="O106" t="str">
        <f t="shared" si="50"/>
        <v>F</v>
      </c>
      <c r="P106" t="str">
        <f t="shared" si="51"/>
        <v>F</v>
      </c>
      <c r="Q106" t="str">
        <f t="shared" si="52"/>
        <v>T</v>
      </c>
      <c r="R106" t="str">
        <f t="shared" si="53"/>
        <v>F</v>
      </c>
      <c r="S106" t="str">
        <f t="shared" si="54"/>
        <v>F</v>
      </c>
      <c r="T106" t="str">
        <f t="shared" si="55"/>
        <v>F</v>
      </c>
      <c r="U106">
        <v>1</v>
      </c>
      <c r="V106">
        <v>2</v>
      </c>
      <c r="W106">
        <v>1</v>
      </c>
    </row>
    <row r="107" spans="1:23" x14ac:dyDescent="0.25">
      <c r="A107" t="s">
        <v>149</v>
      </c>
      <c r="B107" t="s">
        <v>178</v>
      </c>
      <c r="C107" t="s">
        <v>173</v>
      </c>
      <c r="D107" t="s">
        <v>173</v>
      </c>
      <c r="E107" t="s">
        <v>32</v>
      </c>
      <c r="F107" t="str">
        <f t="shared" si="42"/>
        <v>F</v>
      </c>
      <c r="G107" t="str">
        <f t="shared" si="43"/>
        <v>F</v>
      </c>
      <c r="H107" t="str">
        <f t="shared" si="44"/>
        <v>T</v>
      </c>
      <c r="I107" t="str">
        <f t="shared" si="45"/>
        <v>F</v>
      </c>
      <c r="J107" t="str">
        <f t="shared" si="46"/>
        <v>F</v>
      </c>
      <c r="K107" t="str">
        <f t="shared" si="47"/>
        <v>F</v>
      </c>
      <c r="L107" t="str">
        <f t="shared" si="48"/>
        <v>F</v>
      </c>
      <c r="M107" t="str">
        <f t="shared" si="49"/>
        <v>F</v>
      </c>
      <c r="N107" s="10" t="s">
        <v>50</v>
      </c>
      <c r="O107" t="str">
        <f t="shared" si="50"/>
        <v>T</v>
      </c>
      <c r="P107" t="str">
        <f t="shared" si="51"/>
        <v>T</v>
      </c>
      <c r="Q107" t="str">
        <f t="shared" si="52"/>
        <v>T</v>
      </c>
      <c r="R107" t="str">
        <f t="shared" si="53"/>
        <v>F</v>
      </c>
      <c r="S107" t="str">
        <f t="shared" si="54"/>
        <v>F</v>
      </c>
      <c r="T107" t="str">
        <f t="shared" si="55"/>
        <v>F</v>
      </c>
      <c r="U107">
        <v>1</v>
      </c>
      <c r="V107">
        <v>5</v>
      </c>
      <c r="W107">
        <v>4</v>
      </c>
    </row>
    <row r="108" spans="1:23" x14ac:dyDescent="0.25">
      <c r="A108" t="s">
        <v>149</v>
      </c>
      <c r="B108" t="s">
        <v>179</v>
      </c>
      <c r="C108" t="s">
        <v>173</v>
      </c>
      <c r="D108" t="s">
        <v>173</v>
      </c>
      <c r="E108" t="s">
        <v>11</v>
      </c>
      <c r="F108" t="str">
        <f t="shared" si="42"/>
        <v>F</v>
      </c>
      <c r="G108" t="str">
        <f t="shared" si="43"/>
        <v>T</v>
      </c>
      <c r="H108" t="str">
        <f t="shared" si="44"/>
        <v>F</v>
      </c>
      <c r="I108" t="str">
        <f t="shared" si="45"/>
        <v>F</v>
      </c>
      <c r="J108" t="str">
        <f t="shared" si="46"/>
        <v>F</v>
      </c>
      <c r="K108" t="str">
        <f t="shared" si="47"/>
        <v>F</v>
      </c>
      <c r="L108" t="str">
        <f t="shared" si="48"/>
        <v>F</v>
      </c>
      <c r="M108" t="str">
        <f t="shared" si="49"/>
        <v>F</v>
      </c>
      <c r="N108" s="10" t="s">
        <v>180</v>
      </c>
      <c r="O108" t="str">
        <f t="shared" si="50"/>
        <v>F</v>
      </c>
      <c r="P108" t="str">
        <f t="shared" si="51"/>
        <v>T</v>
      </c>
      <c r="Q108" t="str">
        <f t="shared" si="52"/>
        <v>F</v>
      </c>
      <c r="R108" t="str">
        <f t="shared" si="53"/>
        <v>F</v>
      </c>
      <c r="S108" t="str">
        <f t="shared" si="54"/>
        <v>T</v>
      </c>
      <c r="T108" t="str">
        <f t="shared" si="55"/>
        <v>T</v>
      </c>
      <c r="U108">
        <v>2</v>
      </c>
      <c r="V108">
        <v>3</v>
      </c>
      <c r="W108">
        <v>1</v>
      </c>
    </row>
    <row r="109" spans="1:23" x14ac:dyDescent="0.25">
      <c r="A109" t="s">
        <v>149</v>
      </c>
      <c r="B109" t="s">
        <v>181</v>
      </c>
      <c r="C109" t="s">
        <v>173</v>
      </c>
      <c r="D109" t="s">
        <v>173</v>
      </c>
      <c r="E109" t="s">
        <v>32</v>
      </c>
      <c r="F109" t="str">
        <f t="shared" si="42"/>
        <v>F</v>
      </c>
      <c r="G109" t="str">
        <f t="shared" si="43"/>
        <v>F</v>
      </c>
      <c r="H109" t="str">
        <f t="shared" si="44"/>
        <v>T</v>
      </c>
      <c r="I109" t="str">
        <f t="shared" si="45"/>
        <v>F</v>
      </c>
      <c r="J109" t="str">
        <f t="shared" si="46"/>
        <v>F</v>
      </c>
      <c r="K109" t="str">
        <f t="shared" si="47"/>
        <v>F</v>
      </c>
      <c r="L109" t="str">
        <f t="shared" si="48"/>
        <v>F</v>
      </c>
      <c r="M109" t="str">
        <f t="shared" si="49"/>
        <v>F</v>
      </c>
      <c r="N109" s="10" t="s">
        <v>35</v>
      </c>
      <c r="O109" t="str">
        <f t="shared" si="50"/>
        <v>T</v>
      </c>
      <c r="P109" t="str">
        <f t="shared" si="51"/>
        <v>F</v>
      </c>
      <c r="Q109" t="str">
        <f t="shared" si="52"/>
        <v>F</v>
      </c>
      <c r="R109" t="str">
        <f t="shared" si="53"/>
        <v>F</v>
      </c>
      <c r="S109" t="str">
        <f t="shared" si="54"/>
        <v>F</v>
      </c>
      <c r="T109" t="str">
        <f t="shared" si="55"/>
        <v>F</v>
      </c>
      <c r="U109">
        <v>2</v>
      </c>
      <c r="V109">
        <v>5</v>
      </c>
      <c r="W109">
        <v>3</v>
      </c>
    </row>
    <row r="110" spans="1:23" x14ac:dyDescent="0.25">
      <c r="A110" t="s">
        <v>149</v>
      </c>
      <c r="B110" t="s">
        <v>182</v>
      </c>
      <c r="C110" t="s">
        <v>173</v>
      </c>
      <c r="D110" t="s">
        <v>173</v>
      </c>
      <c r="E110" t="s">
        <v>11</v>
      </c>
      <c r="F110" t="str">
        <f t="shared" si="42"/>
        <v>F</v>
      </c>
      <c r="G110" t="str">
        <f t="shared" si="43"/>
        <v>T</v>
      </c>
      <c r="H110" t="str">
        <f t="shared" si="44"/>
        <v>F</v>
      </c>
      <c r="I110" t="str">
        <f t="shared" si="45"/>
        <v>F</v>
      </c>
      <c r="J110" t="str">
        <f t="shared" si="46"/>
        <v>F</v>
      </c>
      <c r="K110" t="str">
        <f t="shared" si="47"/>
        <v>F</v>
      </c>
      <c r="L110" t="str">
        <f t="shared" si="48"/>
        <v>F</v>
      </c>
      <c r="M110" t="str">
        <f t="shared" si="49"/>
        <v>F</v>
      </c>
      <c r="N110" s="10" t="s">
        <v>93</v>
      </c>
      <c r="O110" t="str">
        <f t="shared" si="50"/>
        <v>F</v>
      </c>
      <c r="P110" t="str">
        <f t="shared" si="51"/>
        <v>F</v>
      </c>
      <c r="Q110" t="str">
        <f t="shared" si="52"/>
        <v>F</v>
      </c>
      <c r="R110" t="str">
        <f t="shared" si="53"/>
        <v>F</v>
      </c>
      <c r="S110" t="str">
        <f t="shared" si="54"/>
        <v>T</v>
      </c>
      <c r="T110" t="str">
        <f t="shared" si="55"/>
        <v>F</v>
      </c>
      <c r="U110">
        <v>1</v>
      </c>
      <c r="V110">
        <v>5</v>
      </c>
      <c r="W110">
        <v>4</v>
      </c>
    </row>
    <row r="111" spans="1:23" x14ac:dyDescent="0.25">
      <c r="A111" t="s">
        <v>149</v>
      </c>
      <c r="B111" t="s">
        <v>183</v>
      </c>
      <c r="C111" t="s">
        <v>173</v>
      </c>
      <c r="D111" t="s">
        <v>173</v>
      </c>
      <c r="E111" t="s">
        <v>11</v>
      </c>
      <c r="F111" t="str">
        <f t="shared" si="42"/>
        <v>F</v>
      </c>
      <c r="G111" t="str">
        <f t="shared" si="43"/>
        <v>T</v>
      </c>
      <c r="H111" t="str">
        <f t="shared" si="44"/>
        <v>F</v>
      </c>
      <c r="I111" t="str">
        <f t="shared" si="45"/>
        <v>F</v>
      </c>
      <c r="J111" t="str">
        <f t="shared" si="46"/>
        <v>F</v>
      </c>
      <c r="K111" t="str">
        <f t="shared" si="47"/>
        <v>F</v>
      </c>
      <c r="L111" t="str">
        <f t="shared" si="48"/>
        <v>F</v>
      </c>
      <c r="M111" t="str">
        <f t="shared" si="49"/>
        <v>F</v>
      </c>
      <c r="N111" s="10" t="s">
        <v>180</v>
      </c>
      <c r="O111" t="str">
        <f t="shared" si="50"/>
        <v>F</v>
      </c>
      <c r="P111" t="str">
        <f t="shared" si="51"/>
        <v>T</v>
      </c>
      <c r="Q111" t="str">
        <f t="shared" si="52"/>
        <v>F</v>
      </c>
      <c r="R111" t="str">
        <f t="shared" si="53"/>
        <v>F</v>
      </c>
      <c r="S111" t="str">
        <f t="shared" si="54"/>
        <v>T</v>
      </c>
      <c r="T111" t="str">
        <f t="shared" si="55"/>
        <v>T</v>
      </c>
      <c r="U111">
        <v>2</v>
      </c>
      <c r="V111">
        <v>2</v>
      </c>
      <c r="W111">
        <v>0</v>
      </c>
    </row>
    <row r="112" spans="1:23" x14ac:dyDescent="0.25">
      <c r="A112" t="s">
        <v>184</v>
      </c>
      <c r="B112" t="s">
        <v>185</v>
      </c>
      <c r="C112" t="s">
        <v>186</v>
      </c>
      <c r="D112" t="s">
        <v>186</v>
      </c>
      <c r="E112" t="s">
        <v>158</v>
      </c>
      <c r="F112" t="str">
        <f t="shared" si="42"/>
        <v>F</v>
      </c>
      <c r="G112" t="str">
        <f t="shared" si="43"/>
        <v>F</v>
      </c>
      <c r="H112" t="str">
        <f t="shared" si="44"/>
        <v>F</v>
      </c>
      <c r="I112" t="str">
        <f t="shared" si="45"/>
        <v>F</v>
      </c>
      <c r="J112" t="str">
        <f t="shared" si="46"/>
        <v>T</v>
      </c>
      <c r="K112" t="str">
        <f t="shared" si="47"/>
        <v>F</v>
      </c>
      <c r="L112" t="str">
        <f t="shared" si="48"/>
        <v>F</v>
      </c>
      <c r="M112" t="str">
        <f t="shared" si="49"/>
        <v>F</v>
      </c>
      <c r="N112" s="10" t="s">
        <v>93</v>
      </c>
      <c r="O112" t="str">
        <f t="shared" si="50"/>
        <v>F</v>
      </c>
      <c r="P112" t="str">
        <f t="shared" si="51"/>
        <v>F</v>
      </c>
      <c r="Q112" t="str">
        <f t="shared" si="52"/>
        <v>F</v>
      </c>
      <c r="R112" t="str">
        <f t="shared" si="53"/>
        <v>F</v>
      </c>
      <c r="S112" t="str">
        <f t="shared" si="54"/>
        <v>T</v>
      </c>
      <c r="T112" t="str">
        <f t="shared" si="55"/>
        <v>F</v>
      </c>
      <c r="U112">
        <v>1</v>
      </c>
      <c r="V112">
        <v>2.5</v>
      </c>
      <c r="W112">
        <v>1.5</v>
      </c>
    </row>
    <row r="113" spans="1:23" x14ac:dyDescent="0.25">
      <c r="A113" t="s">
        <v>184</v>
      </c>
      <c r="B113" t="s">
        <v>187</v>
      </c>
      <c r="C113" t="s">
        <v>186</v>
      </c>
      <c r="D113" t="s">
        <v>186</v>
      </c>
      <c r="E113" t="s">
        <v>19</v>
      </c>
      <c r="F113" t="str">
        <f t="shared" si="42"/>
        <v>T</v>
      </c>
      <c r="G113" t="str">
        <f t="shared" si="43"/>
        <v>F</v>
      </c>
      <c r="H113" t="str">
        <f t="shared" si="44"/>
        <v>F</v>
      </c>
      <c r="I113" t="str">
        <f t="shared" si="45"/>
        <v>F</v>
      </c>
      <c r="J113" t="str">
        <f t="shared" si="46"/>
        <v>F</v>
      </c>
      <c r="K113" t="str">
        <f t="shared" si="47"/>
        <v>F</v>
      </c>
      <c r="L113" t="str">
        <f t="shared" si="48"/>
        <v>F</v>
      </c>
      <c r="M113" t="str">
        <f t="shared" si="49"/>
        <v>F</v>
      </c>
      <c r="N113" s="10" t="s">
        <v>93</v>
      </c>
      <c r="O113" t="str">
        <f t="shared" si="50"/>
        <v>F</v>
      </c>
      <c r="P113" t="str">
        <f t="shared" si="51"/>
        <v>F</v>
      </c>
      <c r="Q113" t="str">
        <f t="shared" si="52"/>
        <v>F</v>
      </c>
      <c r="R113" t="str">
        <f t="shared" si="53"/>
        <v>F</v>
      </c>
      <c r="S113" t="str">
        <f t="shared" si="54"/>
        <v>T</v>
      </c>
      <c r="T113" t="str">
        <f t="shared" si="55"/>
        <v>F</v>
      </c>
      <c r="U113">
        <v>1</v>
      </c>
      <c r="V113">
        <v>2</v>
      </c>
      <c r="W113">
        <v>1</v>
      </c>
    </row>
    <row r="114" spans="1:23" x14ac:dyDescent="0.25">
      <c r="A114" t="s">
        <v>184</v>
      </c>
      <c r="B114" t="s">
        <v>188</v>
      </c>
      <c r="C114" t="s">
        <v>186</v>
      </c>
      <c r="D114" t="s">
        <v>186</v>
      </c>
      <c r="E114" t="s">
        <v>11</v>
      </c>
      <c r="F114" t="str">
        <f t="shared" si="42"/>
        <v>F</v>
      </c>
      <c r="G114" t="str">
        <f t="shared" si="43"/>
        <v>T</v>
      </c>
      <c r="H114" t="str">
        <f t="shared" si="44"/>
        <v>F</v>
      </c>
      <c r="I114" t="str">
        <f t="shared" si="45"/>
        <v>F</v>
      </c>
      <c r="J114" t="str">
        <f t="shared" si="46"/>
        <v>F</v>
      </c>
      <c r="K114" t="str">
        <f t="shared" si="47"/>
        <v>F</v>
      </c>
      <c r="L114" t="str">
        <f t="shared" si="48"/>
        <v>F</v>
      </c>
      <c r="M114" t="str">
        <f t="shared" si="49"/>
        <v>F</v>
      </c>
      <c r="N114" s="10" t="s">
        <v>93</v>
      </c>
      <c r="O114" t="str">
        <f t="shared" si="50"/>
        <v>F</v>
      </c>
      <c r="P114" t="str">
        <f t="shared" si="51"/>
        <v>F</v>
      </c>
      <c r="Q114" t="str">
        <f t="shared" si="52"/>
        <v>F</v>
      </c>
      <c r="R114" t="str">
        <f t="shared" si="53"/>
        <v>F</v>
      </c>
      <c r="S114" t="str">
        <f t="shared" si="54"/>
        <v>T</v>
      </c>
      <c r="T114" t="str">
        <f t="shared" si="55"/>
        <v>F</v>
      </c>
      <c r="U114">
        <v>1</v>
      </c>
      <c r="V114">
        <v>2.5</v>
      </c>
      <c r="W114">
        <v>1.5</v>
      </c>
    </row>
    <row r="115" spans="1:23" x14ac:dyDescent="0.25">
      <c r="A115" t="s">
        <v>184</v>
      </c>
      <c r="B115" t="s">
        <v>189</v>
      </c>
      <c r="C115" t="s">
        <v>186</v>
      </c>
      <c r="D115" t="s">
        <v>186</v>
      </c>
      <c r="E115" t="s">
        <v>11</v>
      </c>
      <c r="F115" t="str">
        <f t="shared" si="42"/>
        <v>F</v>
      </c>
      <c r="G115" t="str">
        <f t="shared" si="43"/>
        <v>T</v>
      </c>
      <c r="H115" t="str">
        <f t="shared" si="44"/>
        <v>F</v>
      </c>
      <c r="I115" t="str">
        <f t="shared" si="45"/>
        <v>F</v>
      </c>
      <c r="J115" t="str">
        <f t="shared" si="46"/>
        <v>F</v>
      </c>
      <c r="K115" t="str">
        <f t="shared" si="47"/>
        <v>F</v>
      </c>
      <c r="L115" t="str">
        <f t="shared" si="48"/>
        <v>F</v>
      </c>
      <c r="M115" t="str">
        <f t="shared" si="49"/>
        <v>F</v>
      </c>
      <c r="N115" s="10" t="s">
        <v>190</v>
      </c>
      <c r="O115" t="str">
        <f t="shared" si="50"/>
        <v>T</v>
      </c>
      <c r="P115" t="str">
        <f t="shared" si="51"/>
        <v>F</v>
      </c>
      <c r="Q115" t="str">
        <f t="shared" si="52"/>
        <v>T</v>
      </c>
      <c r="R115" t="str">
        <f t="shared" si="53"/>
        <v>F</v>
      </c>
      <c r="S115" t="str">
        <f t="shared" si="54"/>
        <v>T</v>
      </c>
      <c r="T115" t="str">
        <f t="shared" si="55"/>
        <v>T</v>
      </c>
      <c r="U115">
        <v>1.5</v>
      </c>
      <c r="V115">
        <v>3</v>
      </c>
      <c r="W115">
        <v>1.5</v>
      </c>
    </row>
    <row r="116" spans="1:23" x14ac:dyDescent="0.25">
      <c r="A116" t="s">
        <v>184</v>
      </c>
      <c r="B116" t="s">
        <v>191</v>
      </c>
      <c r="C116" t="s">
        <v>186</v>
      </c>
      <c r="D116" t="s">
        <v>186</v>
      </c>
      <c r="E116" t="s">
        <v>11</v>
      </c>
      <c r="F116" t="str">
        <f t="shared" si="42"/>
        <v>F</v>
      </c>
      <c r="G116" t="str">
        <f t="shared" si="43"/>
        <v>T</v>
      </c>
      <c r="H116" t="str">
        <f t="shared" si="44"/>
        <v>F</v>
      </c>
      <c r="I116" t="str">
        <f t="shared" si="45"/>
        <v>F</v>
      </c>
      <c r="J116" t="str">
        <f t="shared" si="46"/>
        <v>F</v>
      </c>
      <c r="K116" t="str">
        <f t="shared" si="47"/>
        <v>F</v>
      </c>
      <c r="L116" t="str">
        <f t="shared" si="48"/>
        <v>F</v>
      </c>
      <c r="M116" t="str">
        <f t="shared" si="49"/>
        <v>F</v>
      </c>
      <c r="N116" s="10" t="s">
        <v>93</v>
      </c>
      <c r="O116" t="str">
        <f t="shared" si="50"/>
        <v>F</v>
      </c>
      <c r="P116" t="str">
        <f t="shared" si="51"/>
        <v>F</v>
      </c>
      <c r="Q116" t="str">
        <f t="shared" si="52"/>
        <v>F</v>
      </c>
      <c r="R116" t="str">
        <f t="shared" si="53"/>
        <v>F</v>
      </c>
      <c r="S116" t="str">
        <f t="shared" si="54"/>
        <v>T</v>
      </c>
      <c r="T116" t="str">
        <f t="shared" si="55"/>
        <v>F</v>
      </c>
      <c r="U116">
        <v>1</v>
      </c>
      <c r="V116">
        <v>2</v>
      </c>
      <c r="W116">
        <v>1</v>
      </c>
    </row>
    <row r="117" spans="1:23" x14ac:dyDescent="0.25">
      <c r="A117" t="s">
        <v>184</v>
      </c>
      <c r="B117" t="s">
        <v>192</v>
      </c>
      <c r="C117" t="s">
        <v>193</v>
      </c>
      <c r="D117" t="s">
        <v>193</v>
      </c>
      <c r="E117" t="s">
        <v>39</v>
      </c>
      <c r="F117" t="str">
        <f t="shared" si="42"/>
        <v>F</v>
      </c>
      <c r="G117" t="str">
        <f t="shared" si="43"/>
        <v>F</v>
      </c>
      <c r="H117" t="str">
        <f t="shared" si="44"/>
        <v>F</v>
      </c>
      <c r="I117" t="str">
        <f t="shared" si="45"/>
        <v>F</v>
      </c>
      <c r="J117" t="str">
        <f t="shared" si="46"/>
        <v>F</v>
      </c>
      <c r="K117" t="str">
        <f t="shared" si="47"/>
        <v>T</v>
      </c>
      <c r="L117" t="str">
        <f t="shared" si="48"/>
        <v>F</v>
      </c>
      <c r="M117" t="str">
        <f t="shared" si="49"/>
        <v>F</v>
      </c>
      <c r="N117" s="10" t="s">
        <v>102</v>
      </c>
      <c r="O117" t="str">
        <f t="shared" si="50"/>
        <v>F</v>
      </c>
      <c r="P117" t="str">
        <f t="shared" si="51"/>
        <v>T</v>
      </c>
      <c r="Q117" t="str">
        <f t="shared" si="52"/>
        <v>F</v>
      </c>
      <c r="R117" t="str">
        <f t="shared" si="53"/>
        <v>F</v>
      </c>
      <c r="S117" t="str">
        <f t="shared" si="54"/>
        <v>F</v>
      </c>
      <c r="T117" t="str">
        <f t="shared" si="55"/>
        <v>T</v>
      </c>
      <c r="U117">
        <v>1</v>
      </c>
      <c r="V117">
        <v>2</v>
      </c>
      <c r="W117">
        <v>1</v>
      </c>
    </row>
    <row r="118" spans="1:23" x14ac:dyDescent="0.25">
      <c r="A118" t="s">
        <v>184</v>
      </c>
      <c r="B118" t="s">
        <v>194</v>
      </c>
      <c r="C118" t="s">
        <v>193</v>
      </c>
      <c r="D118" t="s">
        <v>193</v>
      </c>
      <c r="E118" t="s">
        <v>158</v>
      </c>
      <c r="F118" t="str">
        <f t="shared" si="42"/>
        <v>F</v>
      </c>
      <c r="G118" t="str">
        <f t="shared" si="43"/>
        <v>F</v>
      </c>
      <c r="H118" t="str">
        <f t="shared" si="44"/>
        <v>F</v>
      </c>
      <c r="I118" t="str">
        <f t="shared" si="45"/>
        <v>F</v>
      </c>
      <c r="J118" t="str">
        <f t="shared" si="46"/>
        <v>T</v>
      </c>
      <c r="K118" t="str">
        <f t="shared" si="47"/>
        <v>F</v>
      </c>
      <c r="L118" t="str">
        <f t="shared" si="48"/>
        <v>F</v>
      </c>
      <c r="M118" t="str">
        <f t="shared" si="49"/>
        <v>F</v>
      </c>
      <c r="N118" s="10" t="s">
        <v>77</v>
      </c>
      <c r="O118" t="str">
        <f t="shared" si="50"/>
        <v>F</v>
      </c>
      <c r="P118" t="str">
        <f t="shared" si="51"/>
        <v>T</v>
      </c>
      <c r="Q118" t="str">
        <f t="shared" si="52"/>
        <v>F</v>
      </c>
      <c r="R118" t="str">
        <f t="shared" si="53"/>
        <v>F</v>
      </c>
      <c r="S118" t="str">
        <f t="shared" si="54"/>
        <v>T</v>
      </c>
      <c r="T118" t="str">
        <f t="shared" si="55"/>
        <v>F</v>
      </c>
      <c r="U118">
        <v>2</v>
      </c>
      <c r="V118">
        <v>2</v>
      </c>
      <c r="W118">
        <v>0</v>
      </c>
    </row>
    <row r="119" spans="1:23" x14ac:dyDescent="0.25">
      <c r="A119" t="s">
        <v>184</v>
      </c>
      <c r="B119" t="s">
        <v>195</v>
      </c>
      <c r="C119" t="s">
        <v>193</v>
      </c>
      <c r="D119" t="s">
        <v>193</v>
      </c>
      <c r="E119" t="s">
        <v>32</v>
      </c>
      <c r="F119" t="str">
        <f t="shared" si="42"/>
        <v>F</v>
      </c>
      <c r="G119" t="str">
        <f t="shared" si="43"/>
        <v>F</v>
      </c>
      <c r="H119" t="str">
        <f t="shared" si="44"/>
        <v>T</v>
      </c>
      <c r="I119" t="str">
        <f t="shared" si="45"/>
        <v>F</v>
      </c>
      <c r="J119" t="str">
        <f t="shared" si="46"/>
        <v>F</v>
      </c>
      <c r="K119" t="str">
        <f t="shared" si="47"/>
        <v>F</v>
      </c>
      <c r="L119" t="str">
        <f t="shared" si="48"/>
        <v>F</v>
      </c>
      <c r="M119" t="str">
        <f t="shared" si="49"/>
        <v>F</v>
      </c>
      <c r="N119" s="10" t="s">
        <v>196</v>
      </c>
      <c r="O119" t="str">
        <f t="shared" si="50"/>
        <v>T</v>
      </c>
      <c r="P119" t="str">
        <f t="shared" si="51"/>
        <v>T</v>
      </c>
      <c r="Q119" t="str">
        <f t="shared" si="52"/>
        <v>F</v>
      </c>
      <c r="R119" t="str">
        <f t="shared" si="53"/>
        <v>F</v>
      </c>
      <c r="S119" t="str">
        <f t="shared" si="54"/>
        <v>F</v>
      </c>
      <c r="T119" t="str">
        <f t="shared" si="55"/>
        <v>F</v>
      </c>
      <c r="U119">
        <v>2</v>
      </c>
      <c r="V119">
        <v>5</v>
      </c>
      <c r="W119">
        <v>3</v>
      </c>
    </row>
    <row r="120" spans="1:23" x14ac:dyDescent="0.25">
      <c r="A120" t="s">
        <v>184</v>
      </c>
      <c r="B120" t="s">
        <v>197</v>
      </c>
      <c r="C120" t="s">
        <v>193</v>
      </c>
      <c r="D120" t="s">
        <v>193</v>
      </c>
      <c r="E120" t="s">
        <v>198</v>
      </c>
      <c r="F120" t="str">
        <f t="shared" si="42"/>
        <v>F</v>
      </c>
      <c r="G120" t="str">
        <f t="shared" si="43"/>
        <v>F</v>
      </c>
      <c r="H120" t="str">
        <f t="shared" si="44"/>
        <v>F</v>
      </c>
      <c r="I120" t="str">
        <f t="shared" si="45"/>
        <v>F</v>
      </c>
      <c r="J120" t="str">
        <f t="shared" si="46"/>
        <v>T</v>
      </c>
      <c r="K120" t="str">
        <f t="shared" si="47"/>
        <v>T</v>
      </c>
      <c r="L120" t="str">
        <f t="shared" si="48"/>
        <v>F</v>
      </c>
      <c r="M120" t="str">
        <f t="shared" si="49"/>
        <v>F</v>
      </c>
      <c r="N120" s="10" t="s">
        <v>44</v>
      </c>
      <c r="O120" t="str">
        <f t="shared" si="50"/>
        <v>F</v>
      </c>
      <c r="P120" t="str">
        <f t="shared" si="51"/>
        <v>T</v>
      </c>
      <c r="Q120" t="str">
        <f t="shared" si="52"/>
        <v>F</v>
      </c>
      <c r="R120" t="str">
        <f t="shared" si="53"/>
        <v>F</v>
      </c>
      <c r="S120" t="str">
        <f t="shared" si="54"/>
        <v>F</v>
      </c>
      <c r="T120" t="str">
        <f t="shared" si="55"/>
        <v>F</v>
      </c>
      <c r="U120">
        <v>2</v>
      </c>
      <c r="V120">
        <v>2</v>
      </c>
      <c r="W120">
        <v>0</v>
      </c>
    </row>
    <row r="121" spans="1:23" x14ac:dyDescent="0.25">
      <c r="A121" t="s">
        <v>184</v>
      </c>
      <c r="B121" t="s">
        <v>199</v>
      </c>
      <c r="C121" t="s">
        <v>193</v>
      </c>
      <c r="D121" t="s">
        <v>193</v>
      </c>
      <c r="E121" t="s">
        <v>32</v>
      </c>
      <c r="F121" t="str">
        <f t="shared" si="42"/>
        <v>F</v>
      </c>
      <c r="G121" t="str">
        <f t="shared" si="43"/>
        <v>F</v>
      </c>
      <c r="H121" t="str">
        <f t="shared" si="44"/>
        <v>T</v>
      </c>
      <c r="I121" t="str">
        <f t="shared" si="45"/>
        <v>F</v>
      </c>
      <c r="J121" t="str">
        <f t="shared" si="46"/>
        <v>F</v>
      </c>
      <c r="K121" t="str">
        <f t="shared" si="47"/>
        <v>F</v>
      </c>
      <c r="L121" t="str">
        <f t="shared" si="48"/>
        <v>F</v>
      </c>
      <c r="M121" t="str">
        <f t="shared" si="49"/>
        <v>F</v>
      </c>
      <c r="N121" s="10" t="s">
        <v>200</v>
      </c>
      <c r="O121" t="str">
        <f t="shared" si="50"/>
        <v>T</v>
      </c>
      <c r="P121" t="str">
        <f t="shared" si="51"/>
        <v>F</v>
      </c>
      <c r="Q121" t="str">
        <f t="shared" si="52"/>
        <v>F</v>
      </c>
      <c r="R121" t="str">
        <f t="shared" si="53"/>
        <v>F</v>
      </c>
      <c r="S121" t="str">
        <f t="shared" si="54"/>
        <v>T</v>
      </c>
      <c r="T121" t="str">
        <f t="shared" si="55"/>
        <v>F</v>
      </c>
      <c r="U121">
        <v>2</v>
      </c>
      <c r="V121">
        <v>5</v>
      </c>
      <c r="W121">
        <v>3</v>
      </c>
    </row>
    <row r="122" spans="1:23" x14ac:dyDescent="0.25">
      <c r="A122" t="s">
        <v>184</v>
      </c>
      <c r="B122" t="s">
        <v>201</v>
      </c>
      <c r="C122" t="s">
        <v>193</v>
      </c>
      <c r="D122" t="s">
        <v>193</v>
      </c>
      <c r="E122" t="s">
        <v>32</v>
      </c>
      <c r="F122" t="str">
        <f t="shared" si="42"/>
        <v>F</v>
      </c>
      <c r="G122" t="str">
        <f t="shared" si="43"/>
        <v>F</v>
      </c>
      <c r="H122" t="str">
        <f t="shared" si="44"/>
        <v>T</v>
      </c>
      <c r="I122" t="str">
        <f t="shared" si="45"/>
        <v>F</v>
      </c>
      <c r="J122" t="str">
        <f t="shared" si="46"/>
        <v>F</v>
      </c>
      <c r="K122" t="str">
        <f t="shared" si="47"/>
        <v>F</v>
      </c>
      <c r="L122" t="str">
        <f t="shared" si="48"/>
        <v>F</v>
      </c>
      <c r="M122" t="str">
        <f t="shared" si="49"/>
        <v>F</v>
      </c>
      <c r="N122" s="10" t="s">
        <v>200</v>
      </c>
      <c r="O122" t="str">
        <f t="shared" si="50"/>
        <v>T</v>
      </c>
      <c r="P122" t="str">
        <f t="shared" si="51"/>
        <v>F</v>
      </c>
      <c r="Q122" t="str">
        <f t="shared" si="52"/>
        <v>F</v>
      </c>
      <c r="R122" t="str">
        <f t="shared" si="53"/>
        <v>F</v>
      </c>
      <c r="S122" t="str">
        <f t="shared" si="54"/>
        <v>T</v>
      </c>
      <c r="T122" t="str">
        <f t="shared" si="55"/>
        <v>F</v>
      </c>
      <c r="U122">
        <v>2</v>
      </c>
      <c r="V122">
        <v>5</v>
      </c>
      <c r="W122">
        <v>3</v>
      </c>
    </row>
    <row r="123" spans="1:23" x14ac:dyDescent="0.25">
      <c r="A123" t="s">
        <v>184</v>
      </c>
      <c r="B123" t="s">
        <v>202</v>
      </c>
      <c r="C123" t="s">
        <v>193</v>
      </c>
      <c r="D123" t="s">
        <v>193</v>
      </c>
      <c r="E123" t="s">
        <v>158</v>
      </c>
      <c r="F123" t="str">
        <f t="shared" si="42"/>
        <v>F</v>
      </c>
      <c r="G123" t="str">
        <f t="shared" si="43"/>
        <v>F</v>
      </c>
      <c r="H123" t="str">
        <f t="shared" si="44"/>
        <v>F</v>
      </c>
      <c r="I123" t="str">
        <f t="shared" si="45"/>
        <v>F</v>
      </c>
      <c r="J123" t="str">
        <f t="shared" si="46"/>
        <v>T</v>
      </c>
      <c r="K123" t="str">
        <f t="shared" si="47"/>
        <v>F</v>
      </c>
      <c r="L123" t="str">
        <f t="shared" si="48"/>
        <v>F</v>
      </c>
      <c r="M123" t="str">
        <f t="shared" si="49"/>
        <v>F</v>
      </c>
      <c r="N123" s="10" t="s">
        <v>203</v>
      </c>
      <c r="O123" t="str">
        <f t="shared" si="50"/>
        <v>F</v>
      </c>
      <c r="P123" t="str">
        <f t="shared" si="51"/>
        <v>T</v>
      </c>
      <c r="Q123" t="str">
        <f t="shared" si="52"/>
        <v>F</v>
      </c>
      <c r="R123" t="str">
        <f t="shared" si="53"/>
        <v>F</v>
      </c>
      <c r="S123" t="str">
        <f t="shared" si="54"/>
        <v>T</v>
      </c>
      <c r="T123" t="str">
        <f t="shared" si="55"/>
        <v>F</v>
      </c>
      <c r="U123">
        <v>2</v>
      </c>
      <c r="V123">
        <v>2</v>
      </c>
      <c r="W123">
        <v>0</v>
      </c>
    </row>
    <row r="124" spans="1:23" x14ac:dyDescent="0.25">
      <c r="A124" t="s">
        <v>184</v>
      </c>
      <c r="B124" t="s">
        <v>204</v>
      </c>
      <c r="C124" t="s">
        <v>193</v>
      </c>
      <c r="D124" t="s">
        <v>193</v>
      </c>
      <c r="E124" t="s">
        <v>205</v>
      </c>
      <c r="F124" t="str">
        <f t="shared" si="42"/>
        <v>T</v>
      </c>
      <c r="G124" t="str">
        <f t="shared" si="43"/>
        <v>F</v>
      </c>
      <c r="H124" t="str">
        <f t="shared" si="44"/>
        <v>F</v>
      </c>
      <c r="I124" t="str">
        <f t="shared" si="45"/>
        <v>T</v>
      </c>
      <c r="J124" t="str">
        <f t="shared" si="46"/>
        <v>F</v>
      </c>
      <c r="K124" t="str">
        <f t="shared" si="47"/>
        <v>F</v>
      </c>
      <c r="L124" t="str">
        <f t="shared" si="48"/>
        <v>F</v>
      </c>
      <c r="M124" t="str">
        <f t="shared" si="49"/>
        <v>F</v>
      </c>
      <c r="N124" s="10" t="s">
        <v>58</v>
      </c>
      <c r="O124" t="str">
        <f t="shared" si="50"/>
        <v>F</v>
      </c>
      <c r="P124" t="str">
        <f t="shared" si="51"/>
        <v>T</v>
      </c>
      <c r="Q124" t="str">
        <f t="shared" si="52"/>
        <v>F</v>
      </c>
      <c r="R124" t="str">
        <f t="shared" si="53"/>
        <v>F</v>
      </c>
      <c r="S124" t="str">
        <f t="shared" si="54"/>
        <v>T</v>
      </c>
      <c r="T124" t="str">
        <f t="shared" si="55"/>
        <v>F</v>
      </c>
      <c r="U124">
        <v>2</v>
      </c>
      <c r="V124">
        <v>3</v>
      </c>
      <c r="W124">
        <v>1</v>
      </c>
    </row>
    <row r="125" spans="1:23" x14ac:dyDescent="0.25">
      <c r="A125" t="s">
        <v>184</v>
      </c>
      <c r="B125" t="s">
        <v>206</v>
      </c>
      <c r="C125" t="s">
        <v>193</v>
      </c>
      <c r="D125" t="s">
        <v>193</v>
      </c>
      <c r="E125" t="s">
        <v>39</v>
      </c>
      <c r="F125" t="str">
        <f t="shared" si="42"/>
        <v>F</v>
      </c>
      <c r="G125" t="str">
        <f t="shared" si="43"/>
        <v>F</v>
      </c>
      <c r="H125" t="str">
        <f t="shared" si="44"/>
        <v>F</v>
      </c>
      <c r="I125" t="str">
        <f t="shared" si="45"/>
        <v>F</v>
      </c>
      <c r="J125" t="str">
        <f t="shared" si="46"/>
        <v>F</v>
      </c>
      <c r="K125" t="str">
        <f t="shared" si="47"/>
        <v>T</v>
      </c>
      <c r="L125" t="str">
        <f t="shared" si="48"/>
        <v>F</v>
      </c>
      <c r="M125" t="str">
        <f t="shared" si="49"/>
        <v>F</v>
      </c>
      <c r="N125" s="10" t="s">
        <v>203</v>
      </c>
      <c r="O125" t="str">
        <f t="shared" si="50"/>
        <v>F</v>
      </c>
      <c r="P125" t="str">
        <f t="shared" si="51"/>
        <v>T</v>
      </c>
      <c r="Q125" t="str">
        <f t="shared" si="52"/>
        <v>F</v>
      </c>
      <c r="R125" t="str">
        <f t="shared" si="53"/>
        <v>F</v>
      </c>
      <c r="S125" t="str">
        <f t="shared" si="54"/>
        <v>T</v>
      </c>
      <c r="T125" t="str">
        <f t="shared" si="55"/>
        <v>F</v>
      </c>
      <c r="U125">
        <v>2</v>
      </c>
      <c r="V125">
        <v>2</v>
      </c>
      <c r="W125">
        <v>0</v>
      </c>
    </row>
    <row r="126" spans="1:23" x14ac:dyDescent="0.25">
      <c r="A126" t="s">
        <v>184</v>
      </c>
      <c r="B126" t="s">
        <v>207</v>
      </c>
      <c r="C126" t="s">
        <v>193</v>
      </c>
      <c r="D126" t="s">
        <v>193</v>
      </c>
      <c r="E126" t="s">
        <v>39</v>
      </c>
      <c r="F126" t="str">
        <f t="shared" si="42"/>
        <v>F</v>
      </c>
      <c r="G126" t="str">
        <f t="shared" si="43"/>
        <v>F</v>
      </c>
      <c r="H126" t="str">
        <f t="shared" si="44"/>
        <v>F</v>
      </c>
      <c r="I126" t="str">
        <f t="shared" si="45"/>
        <v>F</v>
      </c>
      <c r="J126" t="str">
        <f t="shared" si="46"/>
        <v>F</v>
      </c>
      <c r="K126" t="str">
        <f t="shared" si="47"/>
        <v>T</v>
      </c>
      <c r="L126" t="str">
        <f t="shared" si="48"/>
        <v>F</v>
      </c>
      <c r="M126" t="str">
        <f t="shared" si="49"/>
        <v>F</v>
      </c>
      <c r="N126" s="10" t="s">
        <v>40</v>
      </c>
      <c r="O126" t="str">
        <f t="shared" si="50"/>
        <v>F</v>
      </c>
      <c r="P126" t="str">
        <f t="shared" si="51"/>
        <v>F</v>
      </c>
      <c r="Q126" t="str">
        <f t="shared" si="52"/>
        <v>T</v>
      </c>
      <c r="R126" t="str">
        <f t="shared" si="53"/>
        <v>F</v>
      </c>
      <c r="S126" t="str">
        <f t="shared" si="54"/>
        <v>F</v>
      </c>
      <c r="T126" t="str">
        <f t="shared" si="55"/>
        <v>F</v>
      </c>
      <c r="U126">
        <v>1</v>
      </c>
      <c r="V126">
        <v>2</v>
      </c>
      <c r="W126">
        <v>1</v>
      </c>
    </row>
    <row r="127" spans="1:23" x14ac:dyDescent="0.25">
      <c r="A127" t="s">
        <v>184</v>
      </c>
      <c r="B127" t="s">
        <v>208</v>
      </c>
      <c r="C127" t="s">
        <v>193</v>
      </c>
      <c r="D127" t="s">
        <v>193</v>
      </c>
      <c r="E127" t="s">
        <v>39</v>
      </c>
      <c r="F127" t="str">
        <f t="shared" si="42"/>
        <v>F</v>
      </c>
      <c r="G127" t="str">
        <f t="shared" si="43"/>
        <v>F</v>
      </c>
      <c r="H127" t="str">
        <f t="shared" si="44"/>
        <v>F</v>
      </c>
      <c r="I127" t="str">
        <f t="shared" si="45"/>
        <v>F</v>
      </c>
      <c r="J127" t="str">
        <f t="shared" si="46"/>
        <v>F</v>
      </c>
      <c r="K127" t="str">
        <f t="shared" si="47"/>
        <v>T</v>
      </c>
      <c r="L127" t="str">
        <f t="shared" si="48"/>
        <v>F</v>
      </c>
      <c r="M127" t="str">
        <f t="shared" si="49"/>
        <v>F</v>
      </c>
      <c r="N127" s="10" t="s">
        <v>17</v>
      </c>
      <c r="O127" t="str">
        <f t="shared" si="50"/>
        <v>F</v>
      </c>
      <c r="P127" t="str">
        <f t="shared" si="51"/>
        <v>T</v>
      </c>
      <c r="Q127" t="str">
        <f t="shared" si="52"/>
        <v>T</v>
      </c>
      <c r="R127" t="str">
        <f t="shared" si="53"/>
        <v>F</v>
      </c>
      <c r="S127" t="str">
        <f t="shared" si="54"/>
        <v>F</v>
      </c>
      <c r="T127" t="str">
        <f t="shared" si="55"/>
        <v>F</v>
      </c>
      <c r="U127">
        <v>1</v>
      </c>
      <c r="V127">
        <v>2</v>
      </c>
      <c r="W127">
        <v>1</v>
      </c>
    </row>
    <row r="128" spans="1:23" x14ac:dyDescent="0.25">
      <c r="A128" t="s">
        <v>184</v>
      </c>
      <c r="B128" t="s">
        <v>209</v>
      </c>
      <c r="C128" t="s">
        <v>193</v>
      </c>
      <c r="D128" t="s">
        <v>193</v>
      </c>
      <c r="E128" t="s">
        <v>39</v>
      </c>
      <c r="F128" t="str">
        <f t="shared" si="42"/>
        <v>F</v>
      </c>
      <c r="G128" t="str">
        <f t="shared" si="43"/>
        <v>F</v>
      </c>
      <c r="H128" t="str">
        <f t="shared" si="44"/>
        <v>F</v>
      </c>
      <c r="I128" t="str">
        <f t="shared" si="45"/>
        <v>F</v>
      </c>
      <c r="J128" t="str">
        <f t="shared" si="46"/>
        <v>F</v>
      </c>
      <c r="K128" t="str">
        <f t="shared" si="47"/>
        <v>T</v>
      </c>
      <c r="L128" t="str">
        <f t="shared" si="48"/>
        <v>F</v>
      </c>
      <c r="M128" t="str">
        <f t="shared" si="49"/>
        <v>F</v>
      </c>
      <c r="N128" s="10" t="s">
        <v>44</v>
      </c>
      <c r="O128" t="str">
        <f t="shared" si="50"/>
        <v>F</v>
      </c>
      <c r="P128" t="str">
        <f t="shared" si="51"/>
        <v>T</v>
      </c>
      <c r="Q128" t="str">
        <f t="shared" si="52"/>
        <v>F</v>
      </c>
      <c r="R128" t="str">
        <f t="shared" si="53"/>
        <v>F</v>
      </c>
      <c r="S128" t="str">
        <f t="shared" si="54"/>
        <v>F</v>
      </c>
      <c r="T128" t="str">
        <f t="shared" si="55"/>
        <v>F</v>
      </c>
      <c r="U128">
        <v>5</v>
      </c>
      <c r="V128">
        <v>5</v>
      </c>
      <c r="W128">
        <v>0</v>
      </c>
    </row>
    <row r="129" spans="1:23" x14ac:dyDescent="0.25">
      <c r="A129" t="s">
        <v>184</v>
      </c>
      <c r="B129" t="s">
        <v>210</v>
      </c>
      <c r="C129" t="s">
        <v>193</v>
      </c>
      <c r="D129" t="s">
        <v>193</v>
      </c>
      <c r="E129" t="s">
        <v>32</v>
      </c>
      <c r="F129" t="str">
        <f t="shared" si="42"/>
        <v>F</v>
      </c>
      <c r="G129" t="str">
        <f t="shared" si="43"/>
        <v>F</v>
      </c>
      <c r="H129" t="str">
        <f t="shared" si="44"/>
        <v>T</v>
      </c>
      <c r="I129" t="str">
        <f t="shared" si="45"/>
        <v>F</v>
      </c>
      <c r="J129" t="str">
        <f t="shared" si="46"/>
        <v>F</v>
      </c>
      <c r="K129" t="str">
        <f t="shared" si="47"/>
        <v>F</v>
      </c>
      <c r="L129" t="str">
        <f t="shared" si="48"/>
        <v>F</v>
      </c>
      <c r="M129" t="str">
        <f t="shared" si="49"/>
        <v>F</v>
      </c>
      <c r="N129" s="10" t="s">
        <v>35</v>
      </c>
      <c r="O129" t="str">
        <f t="shared" si="50"/>
        <v>T</v>
      </c>
      <c r="P129" t="str">
        <f t="shared" si="51"/>
        <v>F</v>
      </c>
      <c r="Q129" t="str">
        <f t="shared" si="52"/>
        <v>F</v>
      </c>
      <c r="R129" t="str">
        <f t="shared" si="53"/>
        <v>F</v>
      </c>
      <c r="S129" t="str">
        <f t="shared" si="54"/>
        <v>F</v>
      </c>
      <c r="T129" t="str">
        <f t="shared" si="55"/>
        <v>F</v>
      </c>
      <c r="U129">
        <v>1</v>
      </c>
      <c r="V129">
        <v>5</v>
      </c>
      <c r="W129">
        <v>4</v>
      </c>
    </row>
    <row r="130" spans="1:23" x14ac:dyDescent="0.25">
      <c r="A130" t="s">
        <v>184</v>
      </c>
      <c r="B130" t="s">
        <v>211</v>
      </c>
      <c r="C130" t="s">
        <v>193</v>
      </c>
      <c r="D130" t="s">
        <v>193</v>
      </c>
      <c r="E130" t="s">
        <v>158</v>
      </c>
      <c r="F130" t="str">
        <f t="shared" si="42"/>
        <v>F</v>
      </c>
      <c r="G130" t="str">
        <f t="shared" si="43"/>
        <v>F</v>
      </c>
      <c r="H130" t="str">
        <f t="shared" si="44"/>
        <v>F</v>
      </c>
      <c r="I130" t="str">
        <f t="shared" si="45"/>
        <v>F</v>
      </c>
      <c r="J130" t="str">
        <f t="shared" si="46"/>
        <v>T</v>
      </c>
      <c r="K130" t="str">
        <f t="shared" si="47"/>
        <v>F</v>
      </c>
      <c r="L130" t="str">
        <f t="shared" si="48"/>
        <v>F</v>
      </c>
      <c r="M130" t="str">
        <f t="shared" si="49"/>
        <v>F</v>
      </c>
      <c r="N130" s="10" t="s">
        <v>212</v>
      </c>
      <c r="O130" t="str">
        <f t="shared" si="50"/>
        <v>F</v>
      </c>
      <c r="P130" t="str">
        <f t="shared" si="51"/>
        <v>T</v>
      </c>
      <c r="Q130" t="str">
        <f t="shared" si="52"/>
        <v>F</v>
      </c>
      <c r="R130" t="str">
        <f t="shared" si="53"/>
        <v>F</v>
      </c>
      <c r="S130" t="str">
        <f t="shared" si="54"/>
        <v>T</v>
      </c>
      <c r="T130" t="str">
        <f t="shared" si="55"/>
        <v>T</v>
      </c>
      <c r="U130">
        <v>2</v>
      </c>
      <c r="V130">
        <v>5</v>
      </c>
      <c r="W130">
        <v>3</v>
      </c>
    </row>
    <row r="131" spans="1:23" x14ac:dyDescent="0.25">
      <c r="A131" t="s">
        <v>184</v>
      </c>
      <c r="B131" t="s">
        <v>213</v>
      </c>
      <c r="C131" t="s">
        <v>193</v>
      </c>
      <c r="D131" t="s">
        <v>193</v>
      </c>
      <c r="E131" t="s">
        <v>39</v>
      </c>
      <c r="F131" t="str">
        <f t="shared" si="42"/>
        <v>F</v>
      </c>
      <c r="G131" t="str">
        <f t="shared" si="43"/>
        <v>F</v>
      </c>
      <c r="H131" t="str">
        <f t="shared" si="44"/>
        <v>F</v>
      </c>
      <c r="I131" t="str">
        <f t="shared" si="45"/>
        <v>F</v>
      </c>
      <c r="J131" t="str">
        <f t="shared" si="46"/>
        <v>F</v>
      </c>
      <c r="K131" t="str">
        <f t="shared" si="47"/>
        <v>T</v>
      </c>
      <c r="L131" t="str">
        <f t="shared" si="48"/>
        <v>F</v>
      </c>
      <c r="M131" t="str">
        <f t="shared" si="49"/>
        <v>F</v>
      </c>
      <c r="N131" s="10" t="s">
        <v>214</v>
      </c>
      <c r="O131" t="str">
        <f t="shared" si="50"/>
        <v>F</v>
      </c>
      <c r="P131" t="str">
        <f t="shared" si="51"/>
        <v>T</v>
      </c>
      <c r="Q131" t="str">
        <f t="shared" si="52"/>
        <v>F</v>
      </c>
      <c r="R131" t="str">
        <f t="shared" si="53"/>
        <v>F</v>
      </c>
      <c r="S131" t="str">
        <f t="shared" si="54"/>
        <v>F</v>
      </c>
      <c r="T131" t="str">
        <f t="shared" si="55"/>
        <v>T</v>
      </c>
      <c r="U131">
        <v>2</v>
      </c>
      <c r="V131">
        <v>2</v>
      </c>
      <c r="W131">
        <v>0</v>
      </c>
    </row>
    <row r="132" spans="1:23" x14ac:dyDescent="0.25">
      <c r="A132" t="s">
        <v>184</v>
      </c>
      <c r="B132" t="s">
        <v>215</v>
      </c>
      <c r="C132" t="s">
        <v>193</v>
      </c>
      <c r="D132" t="s">
        <v>193</v>
      </c>
      <c r="E132" t="s">
        <v>39</v>
      </c>
      <c r="F132" t="str">
        <f t="shared" si="42"/>
        <v>F</v>
      </c>
      <c r="G132" t="str">
        <f t="shared" si="43"/>
        <v>F</v>
      </c>
      <c r="H132" t="str">
        <f t="shared" si="44"/>
        <v>F</v>
      </c>
      <c r="I132" t="str">
        <f t="shared" si="45"/>
        <v>F</v>
      </c>
      <c r="J132" t="str">
        <f t="shared" si="46"/>
        <v>F</v>
      </c>
      <c r="K132" t="str">
        <f t="shared" si="47"/>
        <v>T</v>
      </c>
      <c r="L132" t="str">
        <f t="shared" si="48"/>
        <v>F</v>
      </c>
      <c r="M132" t="str">
        <f t="shared" si="49"/>
        <v>F</v>
      </c>
      <c r="N132" s="10" t="s">
        <v>216</v>
      </c>
      <c r="O132" t="str">
        <f t="shared" si="50"/>
        <v>F</v>
      </c>
      <c r="P132" t="str">
        <f t="shared" si="51"/>
        <v>T</v>
      </c>
      <c r="Q132" t="str">
        <f t="shared" si="52"/>
        <v>T</v>
      </c>
      <c r="R132" t="str">
        <f t="shared" si="53"/>
        <v>F</v>
      </c>
      <c r="S132" t="str">
        <f t="shared" si="54"/>
        <v>F</v>
      </c>
      <c r="T132" t="str">
        <f t="shared" si="55"/>
        <v>F</v>
      </c>
      <c r="U132">
        <v>2</v>
      </c>
      <c r="V132">
        <v>2</v>
      </c>
      <c r="W132">
        <v>0</v>
      </c>
    </row>
    <row r="133" spans="1:23" x14ac:dyDescent="0.25">
      <c r="A133" t="s">
        <v>184</v>
      </c>
      <c r="B133" t="s">
        <v>217</v>
      </c>
      <c r="C133" t="s">
        <v>193</v>
      </c>
      <c r="D133" t="s">
        <v>193</v>
      </c>
      <c r="E133" t="s">
        <v>32</v>
      </c>
      <c r="F133" t="str">
        <f t="shared" si="42"/>
        <v>F</v>
      </c>
      <c r="G133" t="str">
        <f t="shared" si="43"/>
        <v>F</v>
      </c>
      <c r="H133" t="str">
        <f t="shared" si="44"/>
        <v>T</v>
      </c>
      <c r="I133" t="str">
        <f t="shared" si="45"/>
        <v>F</v>
      </c>
      <c r="J133" t="str">
        <f t="shared" si="46"/>
        <v>F</v>
      </c>
      <c r="K133" t="str">
        <f t="shared" si="47"/>
        <v>F</v>
      </c>
      <c r="L133" t="str">
        <f t="shared" si="48"/>
        <v>F</v>
      </c>
      <c r="M133" t="str">
        <f t="shared" si="49"/>
        <v>F</v>
      </c>
      <c r="N133" s="10" t="s">
        <v>196</v>
      </c>
      <c r="O133" t="str">
        <f t="shared" si="50"/>
        <v>T</v>
      </c>
      <c r="P133" t="str">
        <f t="shared" si="51"/>
        <v>T</v>
      </c>
      <c r="Q133" t="str">
        <f t="shared" si="52"/>
        <v>F</v>
      </c>
      <c r="R133" t="str">
        <f t="shared" si="53"/>
        <v>F</v>
      </c>
      <c r="S133" t="str">
        <f t="shared" si="54"/>
        <v>F</v>
      </c>
      <c r="T133" t="str">
        <f t="shared" si="55"/>
        <v>F</v>
      </c>
      <c r="U133">
        <v>1</v>
      </c>
      <c r="V133">
        <v>5</v>
      </c>
      <c r="W133">
        <v>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A8B86-B619-435D-9B13-49591F186C0B}">
  <dimension ref="A1:X133"/>
  <sheetViews>
    <sheetView tabSelected="1" workbookViewId="0">
      <selection activeCell="B9" sqref="B9"/>
    </sheetView>
  </sheetViews>
  <sheetFormatPr defaultRowHeight="13.2" x14ac:dyDescent="0.25"/>
  <cols>
    <col min="1" max="1" width="11.5546875" bestFit="1" customWidth="1"/>
    <col min="2" max="2" width="80.88671875" bestFit="1" customWidth="1"/>
    <col min="3" max="3" width="9.6640625" bestFit="1" customWidth="1"/>
    <col min="4" max="4" width="12" bestFit="1" customWidth="1"/>
    <col min="5" max="5" width="11.109375" bestFit="1" customWidth="1"/>
    <col min="6" max="6" width="80.88671875" bestFit="1" customWidth="1"/>
    <col min="7" max="7" width="18.88671875" bestFit="1" customWidth="1"/>
    <col min="8" max="8" width="14" bestFit="1" customWidth="1"/>
    <col min="9" max="9" width="21.6640625" bestFit="1" customWidth="1"/>
    <col min="10" max="10" width="33.44140625" bestFit="1" customWidth="1"/>
    <col min="11" max="11" width="28.21875" bestFit="1" customWidth="1"/>
    <col min="12" max="12" width="27.109375" bestFit="1" customWidth="1"/>
    <col min="13" max="13" width="23.6640625" bestFit="1" customWidth="1"/>
    <col min="14" max="14" width="23" bestFit="1" customWidth="1"/>
    <col min="15" max="15" width="80.88671875" bestFit="1" customWidth="1"/>
    <col min="16" max="16" width="39.6640625" bestFit="1" customWidth="1"/>
    <col min="17" max="17" width="19.88671875" bestFit="1" customWidth="1"/>
    <col min="18" max="18" width="32.33203125" bestFit="1" customWidth="1"/>
    <col min="19" max="19" width="9.109375" bestFit="1" customWidth="1"/>
    <col min="20" max="20" width="16.21875" bestFit="1" customWidth="1"/>
    <col min="21" max="21" width="9.5546875" bestFit="1" customWidth="1"/>
    <col min="22" max="22" width="10.33203125" bestFit="1" customWidth="1"/>
    <col min="23" max="23" width="9.33203125" bestFit="1" customWidth="1"/>
    <col min="24" max="24" width="11.21875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226</v>
      </c>
      <c r="E1" t="s">
        <v>227</v>
      </c>
      <c r="F1" t="s">
        <v>3</v>
      </c>
      <c r="G1" t="s">
        <v>220</v>
      </c>
      <c r="H1" t="s">
        <v>11</v>
      </c>
      <c r="I1" t="s">
        <v>32</v>
      </c>
      <c r="J1" t="s">
        <v>27</v>
      </c>
      <c r="K1" t="s">
        <v>219</v>
      </c>
      <c r="L1" t="s">
        <v>39</v>
      </c>
      <c r="M1" t="s">
        <v>96</v>
      </c>
      <c r="N1" t="s">
        <v>64</v>
      </c>
      <c r="O1" t="s">
        <v>4</v>
      </c>
      <c r="P1" t="s">
        <v>35</v>
      </c>
      <c r="Q1" t="s">
        <v>44</v>
      </c>
      <c r="R1" t="s">
        <v>40</v>
      </c>
      <c r="S1" t="s">
        <v>221</v>
      </c>
      <c r="T1" t="s">
        <v>93</v>
      </c>
      <c r="U1" t="s">
        <v>218</v>
      </c>
      <c r="V1" t="s">
        <v>5</v>
      </c>
      <c r="W1" t="s">
        <v>6</v>
      </c>
      <c r="X1" t="s">
        <v>7</v>
      </c>
    </row>
    <row r="2" spans="1:24" x14ac:dyDescent="0.25">
      <c r="A2" s="12" t="s">
        <v>8</v>
      </c>
      <c r="B2" s="12" t="s">
        <v>9</v>
      </c>
      <c r="C2" s="12" t="s">
        <v>225</v>
      </c>
      <c r="D2">
        <v>1956</v>
      </c>
      <c r="E2">
        <v>1959</v>
      </c>
      <c r="F2" s="12" t="s">
        <v>11</v>
      </c>
      <c r="G2" s="12" t="s">
        <v>222</v>
      </c>
      <c r="H2" s="12" t="s">
        <v>223</v>
      </c>
      <c r="I2" s="12" t="s">
        <v>222</v>
      </c>
      <c r="J2" s="12" t="s">
        <v>222</v>
      </c>
      <c r="K2" s="12" t="s">
        <v>222</v>
      </c>
      <c r="L2" s="12" t="s">
        <v>222</v>
      </c>
      <c r="M2" s="12" t="s">
        <v>222</v>
      </c>
      <c r="N2" s="12" t="s">
        <v>222</v>
      </c>
      <c r="O2" s="12" t="s">
        <v>12</v>
      </c>
      <c r="P2" s="12" t="s">
        <v>222</v>
      </c>
      <c r="Q2" s="12" t="s">
        <v>222</v>
      </c>
      <c r="R2" s="12" t="s">
        <v>223</v>
      </c>
      <c r="S2" s="12" t="s">
        <v>222</v>
      </c>
      <c r="T2" s="12" t="s">
        <v>223</v>
      </c>
      <c r="U2" s="12" t="s">
        <v>222</v>
      </c>
      <c r="V2">
        <v>1</v>
      </c>
      <c r="W2">
        <v>1</v>
      </c>
      <c r="X2">
        <v>0</v>
      </c>
    </row>
    <row r="3" spans="1:24" x14ac:dyDescent="0.25">
      <c r="A3" s="12" t="s">
        <v>8</v>
      </c>
      <c r="B3" s="12" t="s">
        <v>13</v>
      </c>
      <c r="C3" s="12" t="s">
        <v>225</v>
      </c>
      <c r="D3">
        <v>1956</v>
      </c>
      <c r="E3">
        <v>1959</v>
      </c>
      <c r="F3" s="12" t="s">
        <v>14</v>
      </c>
      <c r="G3" s="12" t="s">
        <v>223</v>
      </c>
      <c r="H3" s="12" t="s">
        <v>223</v>
      </c>
      <c r="I3" s="12" t="s">
        <v>222</v>
      </c>
      <c r="J3" s="12" t="s">
        <v>222</v>
      </c>
      <c r="K3" s="12" t="s">
        <v>222</v>
      </c>
      <c r="L3" s="12" t="s">
        <v>222</v>
      </c>
      <c r="M3" s="12" t="s">
        <v>222</v>
      </c>
      <c r="N3" s="12" t="s">
        <v>222</v>
      </c>
      <c r="O3" s="12" t="s">
        <v>15</v>
      </c>
      <c r="P3" s="12" t="s">
        <v>223</v>
      </c>
      <c r="Q3" s="12" t="s">
        <v>223</v>
      </c>
      <c r="R3" s="12" t="s">
        <v>222</v>
      </c>
      <c r="S3" s="12" t="s">
        <v>222</v>
      </c>
      <c r="T3" s="12" t="s">
        <v>223</v>
      </c>
      <c r="U3" s="12" t="s">
        <v>222</v>
      </c>
      <c r="V3">
        <v>1</v>
      </c>
      <c r="W3">
        <v>4</v>
      </c>
      <c r="X3">
        <v>3</v>
      </c>
    </row>
    <row r="4" spans="1:24" x14ac:dyDescent="0.25">
      <c r="A4" s="12" t="s">
        <v>8</v>
      </c>
      <c r="B4" s="12" t="s">
        <v>16</v>
      </c>
      <c r="C4" s="12" t="s">
        <v>225</v>
      </c>
      <c r="D4">
        <v>1956</v>
      </c>
      <c r="E4">
        <v>1959</v>
      </c>
      <c r="F4" s="12" t="s">
        <v>11</v>
      </c>
      <c r="G4" s="12" t="s">
        <v>222</v>
      </c>
      <c r="H4" s="12" t="s">
        <v>223</v>
      </c>
      <c r="I4" s="12" t="s">
        <v>222</v>
      </c>
      <c r="J4" s="12" t="s">
        <v>222</v>
      </c>
      <c r="K4" s="12" t="s">
        <v>222</v>
      </c>
      <c r="L4" s="12" t="s">
        <v>222</v>
      </c>
      <c r="M4" s="12" t="s">
        <v>222</v>
      </c>
      <c r="N4" s="12" t="s">
        <v>222</v>
      </c>
      <c r="O4" s="12" t="s">
        <v>17</v>
      </c>
      <c r="P4" s="12" t="s">
        <v>222</v>
      </c>
      <c r="Q4" s="12" t="s">
        <v>223</v>
      </c>
      <c r="R4" s="12" t="s">
        <v>223</v>
      </c>
      <c r="S4" s="12" t="s">
        <v>222</v>
      </c>
      <c r="T4" s="12" t="s">
        <v>222</v>
      </c>
      <c r="U4" s="12" t="s">
        <v>222</v>
      </c>
      <c r="V4">
        <v>4</v>
      </c>
      <c r="W4">
        <v>4</v>
      </c>
      <c r="X4">
        <v>0</v>
      </c>
    </row>
    <row r="5" spans="1:24" x14ac:dyDescent="0.25">
      <c r="A5" s="12" t="s">
        <v>8</v>
      </c>
      <c r="B5" s="12" t="s">
        <v>18</v>
      </c>
      <c r="C5" s="12" t="s">
        <v>225</v>
      </c>
      <c r="D5">
        <v>1956</v>
      </c>
      <c r="E5">
        <v>1959</v>
      </c>
      <c r="F5" s="12" t="s">
        <v>19</v>
      </c>
      <c r="G5" s="12" t="s">
        <v>223</v>
      </c>
      <c r="H5" s="12" t="s">
        <v>222</v>
      </c>
      <c r="I5" s="12" t="s">
        <v>222</v>
      </c>
      <c r="J5" s="12" t="s">
        <v>222</v>
      </c>
      <c r="K5" s="12" t="s">
        <v>222</v>
      </c>
      <c r="L5" s="12" t="s">
        <v>222</v>
      </c>
      <c r="M5" s="12" t="s">
        <v>222</v>
      </c>
      <c r="N5" s="12" t="s">
        <v>222</v>
      </c>
      <c r="O5" s="12" t="s">
        <v>20</v>
      </c>
      <c r="P5" s="12" t="s">
        <v>222</v>
      </c>
      <c r="Q5" s="12" t="s">
        <v>222</v>
      </c>
      <c r="R5" s="12" t="s">
        <v>223</v>
      </c>
      <c r="S5" s="12" t="s">
        <v>222</v>
      </c>
      <c r="T5" s="12" t="s">
        <v>222</v>
      </c>
      <c r="U5" s="12" t="s">
        <v>223</v>
      </c>
      <c r="V5">
        <v>5</v>
      </c>
      <c r="W5">
        <v>5</v>
      </c>
      <c r="X5">
        <v>0</v>
      </c>
    </row>
    <row r="6" spans="1:24" x14ac:dyDescent="0.25">
      <c r="A6" s="12" t="s">
        <v>8</v>
      </c>
      <c r="B6" s="12" t="s">
        <v>21</v>
      </c>
      <c r="C6" s="12" t="s">
        <v>225</v>
      </c>
      <c r="D6">
        <v>1956</v>
      </c>
      <c r="E6">
        <v>1959</v>
      </c>
      <c r="F6" s="12" t="s">
        <v>22</v>
      </c>
      <c r="G6" s="12" t="s">
        <v>223</v>
      </c>
      <c r="H6" s="12" t="s">
        <v>222</v>
      </c>
      <c r="I6" s="12" t="s">
        <v>222</v>
      </c>
      <c r="J6" s="12" t="s">
        <v>222</v>
      </c>
      <c r="K6" s="12" t="s">
        <v>223</v>
      </c>
      <c r="L6" s="12" t="s">
        <v>222</v>
      </c>
      <c r="M6" s="12" t="s">
        <v>222</v>
      </c>
      <c r="N6" s="12" t="s">
        <v>222</v>
      </c>
      <c r="O6" s="12" t="s">
        <v>23</v>
      </c>
      <c r="P6" s="12" t="s">
        <v>223</v>
      </c>
      <c r="Q6" s="12" t="s">
        <v>222</v>
      </c>
      <c r="R6" s="12" t="s">
        <v>222</v>
      </c>
      <c r="S6" s="12" t="s">
        <v>222</v>
      </c>
      <c r="T6" s="12" t="s">
        <v>223</v>
      </c>
      <c r="U6" s="12" t="s">
        <v>222</v>
      </c>
      <c r="V6">
        <v>1</v>
      </c>
      <c r="W6">
        <v>5</v>
      </c>
      <c r="X6">
        <v>4</v>
      </c>
    </row>
    <row r="7" spans="1:24" x14ac:dyDescent="0.25">
      <c r="A7" s="12" t="s">
        <v>8</v>
      </c>
      <c r="B7" s="12" t="s">
        <v>24</v>
      </c>
      <c r="C7" s="12" t="s">
        <v>225</v>
      </c>
      <c r="D7">
        <v>1956</v>
      </c>
      <c r="E7">
        <v>1959</v>
      </c>
      <c r="F7" s="12" t="s">
        <v>25</v>
      </c>
      <c r="G7" s="12" t="s">
        <v>223</v>
      </c>
      <c r="H7" s="12" t="s">
        <v>223</v>
      </c>
      <c r="I7" s="12" t="s">
        <v>223</v>
      </c>
      <c r="J7" s="12" t="s">
        <v>222</v>
      </c>
      <c r="K7" s="12" t="s">
        <v>222</v>
      </c>
      <c r="L7" s="12" t="s">
        <v>222</v>
      </c>
      <c r="M7" s="12" t="s">
        <v>222</v>
      </c>
      <c r="N7" s="12" t="s">
        <v>222</v>
      </c>
      <c r="O7" s="12" t="s">
        <v>15</v>
      </c>
      <c r="P7" s="12" t="s">
        <v>223</v>
      </c>
      <c r="Q7" s="12" t="s">
        <v>223</v>
      </c>
      <c r="R7" s="12" t="s">
        <v>222</v>
      </c>
      <c r="S7" s="12" t="s">
        <v>222</v>
      </c>
      <c r="T7" s="12" t="s">
        <v>223</v>
      </c>
      <c r="U7" s="12" t="s">
        <v>222</v>
      </c>
      <c r="V7">
        <v>2</v>
      </c>
      <c r="W7">
        <v>4</v>
      </c>
      <c r="X7">
        <v>2</v>
      </c>
    </row>
    <row r="8" spans="1:24" x14ac:dyDescent="0.25">
      <c r="A8" s="12" t="s">
        <v>8</v>
      </c>
      <c r="B8" s="12" t="s">
        <v>26</v>
      </c>
      <c r="C8" s="12" t="s">
        <v>225</v>
      </c>
      <c r="D8">
        <v>1956</v>
      </c>
      <c r="E8">
        <v>1959</v>
      </c>
      <c r="F8" s="12" t="s">
        <v>27</v>
      </c>
      <c r="G8" s="12" t="s">
        <v>222</v>
      </c>
      <c r="H8" s="12" t="s">
        <v>222</v>
      </c>
      <c r="I8" s="12" t="s">
        <v>222</v>
      </c>
      <c r="J8" s="12" t="s">
        <v>223</v>
      </c>
      <c r="K8" s="12" t="s">
        <v>222</v>
      </c>
      <c r="L8" s="12" t="s">
        <v>222</v>
      </c>
      <c r="M8" s="12" t="s">
        <v>222</v>
      </c>
      <c r="N8" s="12" t="s">
        <v>222</v>
      </c>
      <c r="O8" s="12" t="s">
        <v>28</v>
      </c>
      <c r="P8" s="12" t="s">
        <v>223</v>
      </c>
      <c r="Q8" s="12" t="s">
        <v>222</v>
      </c>
      <c r="R8" s="12" t="s">
        <v>223</v>
      </c>
      <c r="S8" s="12" t="s">
        <v>222</v>
      </c>
      <c r="T8" s="12" t="s">
        <v>222</v>
      </c>
      <c r="U8" s="12" t="s">
        <v>222</v>
      </c>
      <c r="V8">
        <v>2</v>
      </c>
      <c r="W8">
        <v>3</v>
      </c>
      <c r="X8">
        <v>1</v>
      </c>
    </row>
    <row r="9" spans="1:24" x14ac:dyDescent="0.25">
      <c r="A9" s="12" t="s">
        <v>8</v>
      </c>
      <c r="B9" s="12" t="s">
        <v>29</v>
      </c>
      <c r="C9" s="12" t="s">
        <v>225</v>
      </c>
      <c r="D9">
        <v>1956</v>
      </c>
      <c r="E9">
        <v>1959</v>
      </c>
      <c r="F9" s="12" t="s">
        <v>19</v>
      </c>
      <c r="G9" s="12" t="s">
        <v>223</v>
      </c>
      <c r="H9" s="12" t="s">
        <v>222</v>
      </c>
      <c r="I9" s="12" t="s">
        <v>222</v>
      </c>
      <c r="J9" s="12" t="s">
        <v>222</v>
      </c>
      <c r="K9" s="12" t="s">
        <v>222</v>
      </c>
      <c r="L9" s="12" t="s">
        <v>222</v>
      </c>
      <c r="M9" s="12" t="s">
        <v>222</v>
      </c>
      <c r="N9" s="12" t="s">
        <v>222</v>
      </c>
      <c r="O9" s="12" t="s">
        <v>15</v>
      </c>
      <c r="P9" s="12" t="s">
        <v>223</v>
      </c>
      <c r="Q9" s="12" t="s">
        <v>223</v>
      </c>
      <c r="R9" s="12" t="s">
        <v>222</v>
      </c>
      <c r="S9" s="12" t="s">
        <v>222</v>
      </c>
      <c r="T9" s="12" t="s">
        <v>223</v>
      </c>
      <c r="U9" s="12" t="s">
        <v>222</v>
      </c>
      <c r="V9">
        <v>2</v>
      </c>
      <c r="W9">
        <v>3</v>
      </c>
      <c r="X9">
        <v>1</v>
      </c>
    </row>
    <row r="10" spans="1:24" x14ac:dyDescent="0.25">
      <c r="A10" s="12" t="s">
        <v>8</v>
      </c>
      <c r="B10" s="12" t="s">
        <v>30</v>
      </c>
      <c r="C10" s="12" t="s">
        <v>31</v>
      </c>
      <c r="D10">
        <v>1945</v>
      </c>
      <c r="E10">
        <v>1948</v>
      </c>
      <c r="F10" s="12" t="s">
        <v>32</v>
      </c>
      <c r="G10" s="12" t="s">
        <v>222</v>
      </c>
      <c r="H10" s="12" t="s">
        <v>222</v>
      </c>
      <c r="I10" s="12" t="s">
        <v>223</v>
      </c>
      <c r="J10" s="12" t="s">
        <v>222</v>
      </c>
      <c r="K10" s="12" t="s">
        <v>222</v>
      </c>
      <c r="L10" s="12" t="s">
        <v>222</v>
      </c>
      <c r="M10" s="12" t="s">
        <v>222</v>
      </c>
      <c r="N10" s="12" t="s">
        <v>222</v>
      </c>
      <c r="O10" s="12" t="s">
        <v>33</v>
      </c>
      <c r="P10" s="12" t="s">
        <v>223</v>
      </c>
      <c r="Q10" s="12" t="s">
        <v>223</v>
      </c>
      <c r="R10" s="12" t="s">
        <v>222</v>
      </c>
      <c r="S10" s="12" t="s">
        <v>222</v>
      </c>
      <c r="T10" s="12" t="s">
        <v>223</v>
      </c>
      <c r="U10" s="12" t="s">
        <v>222</v>
      </c>
      <c r="V10">
        <v>4</v>
      </c>
      <c r="W10">
        <v>1</v>
      </c>
      <c r="X10">
        <v>-3</v>
      </c>
    </row>
    <row r="11" spans="1:24" x14ac:dyDescent="0.25">
      <c r="A11" s="12" t="s">
        <v>8</v>
      </c>
      <c r="B11" s="12" t="s">
        <v>34</v>
      </c>
      <c r="C11" s="12" t="s">
        <v>31</v>
      </c>
      <c r="D11">
        <v>1945</v>
      </c>
      <c r="E11">
        <v>1948</v>
      </c>
      <c r="F11" s="12" t="s">
        <v>32</v>
      </c>
      <c r="G11" s="12" t="s">
        <v>222</v>
      </c>
      <c r="H11" s="12" t="s">
        <v>222</v>
      </c>
      <c r="I11" s="12" t="s">
        <v>223</v>
      </c>
      <c r="J11" s="12" t="s">
        <v>222</v>
      </c>
      <c r="K11" s="12" t="s">
        <v>222</v>
      </c>
      <c r="L11" s="12" t="s">
        <v>222</v>
      </c>
      <c r="M11" s="12" t="s">
        <v>222</v>
      </c>
      <c r="N11" s="12" t="s">
        <v>222</v>
      </c>
      <c r="O11" s="12" t="s">
        <v>35</v>
      </c>
      <c r="P11" s="12" t="s">
        <v>223</v>
      </c>
      <c r="Q11" s="12" t="s">
        <v>222</v>
      </c>
      <c r="R11" s="12" t="s">
        <v>222</v>
      </c>
      <c r="S11" s="12" t="s">
        <v>222</v>
      </c>
      <c r="T11" s="12" t="s">
        <v>222</v>
      </c>
      <c r="U11" s="12" t="s">
        <v>222</v>
      </c>
      <c r="V11">
        <v>4</v>
      </c>
      <c r="W11">
        <v>4</v>
      </c>
      <c r="X11">
        <v>0</v>
      </c>
    </row>
    <row r="12" spans="1:24" x14ac:dyDescent="0.25">
      <c r="A12" s="12" t="s">
        <v>8</v>
      </c>
      <c r="B12" s="12" t="s">
        <v>36</v>
      </c>
      <c r="C12" s="12" t="s">
        <v>31</v>
      </c>
      <c r="D12">
        <v>1945</v>
      </c>
      <c r="E12">
        <v>1948</v>
      </c>
      <c r="F12" s="12" t="s">
        <v>37</v>
      </c>
      <c r="G12" s="12" t="s">
        <v>222</v>
      </c>
      <c r="H12" s="12" t="s">
        <v>223</v>
      </c>
      <c r="I12" s="12" t="s">
        <v>222</v>
      </c>
      <c r="J12" s="12" t="s">
        <v>222</v>
      </c>
      <c r="K12" s="12" t="s">
        <v>223</v>
      </c>
      <c r="L12" s="12" t="s">
        <v>223</v>
      </c>
      <c r="M12" s="12" t="s">
        <v>222</v>
      </c>
      <c r="N12" s="12" t="s">
        <v>222</v>
      </c>
      <c r="O12" s="12" t="s">
        <v>35</v>
      </c>
      <c r="P12" s="12" t="s">
        <v>223</v>
      </c>
      <c r="Q12" s="12" t="s">
        <v>222</v>
      </c>
      <c r="R12" s="12" t="s">
        <v>222</v>
      </c>
      <c r="S12" s="12" t="s">
        <v>222</v>
      </c>
      <c r="T12" s="12" t="s">
        <v>222</v>
      </c>
      <c r="U12" s="12" t="s">
        <v>222</v>
      </c>
      <c r="V12">
        <v>1</v>
      </c>
      <c r="W12">
        <v>4</v>
      </c>
      <c r="X12">
        <v>3</v>
      </c>
    </row>
    <row r="13" spans="1:24" x14ac:dyDescent="0.25">
      <c r="A13" s="12" t="s">
        <v>8</v>
      </c>
      <c r="B13" s="12" t="s">
        <v>38</v>
      </c>
      <c r="C13" s="12" t="s">
        <v>31</v>
      </c>
      <c r="D13">
        <v>1945</v>
      </c>
      <c r="E13">
        <v>1948</v>
      </c>
      <c r="F13" s="12" t="s">
        <v>39</v>
      </c>
      <c r="G13" s="12" t="s">
        <v>222</v>
      </c>
      <c r="H13" s="12" t="s">
        <v>222</v>
      </c>
      <c r="I13" s="12" t="s">
        <v>222</v>
      </c>
      <c r="J13" s="12" t="s">
        <v>222</v>
      </c>
      <c r="K13" s="12" t="s">
        <v>222</v>
      </c>
      <c r="L13" s="12" t="s">
        <v>223</v>
      </c>
      <c r="M13" s="12" t="s">
        <v>222</v>
      </c>
      <c r="N13" s="12" t="s">
        <v>222</v>
      </c>
      <c r="O13" s="12" t="s">
        <v>40</v>
      </c>
      <c r="P13" s="12" t="s">
        <v>222</v>
      </c>
      <c r="Q13" s="12" t="s">
        <v>222</v>
      </c>
      <c r="R13" s="12" t="s">
        <v>223</v>
      </c>
      <c r="S13" s="12" t="s">
        <v>222</v>
      </c>
      <c r="T13" s="12" t="s">
        <v>222</v>
      </c>
      <c r="U13" s="12" t="s">
        <v>222</v>
      </c>
      <c r="V13">
        <v>1</v>
      </c>
      <c r="W13">
        <v>4</v>
      </c>
      <c r="X13">
        <v>3</v>
      </c>
    </row>
    <row r="14" spans="1:24" x14ac:dyDescent="0.25">
      <c r="A14" s="12" t="s">
        <v>41</v>
      </c>
      <c r="B14" s="12" t="s">
        <v>42</v>
      </c>
      <c r="C14" s="12" t="s">
        <v>43</v>
      </c>
      <c r="D14">
        <v>1968</v>
      </c>
      <c r="E14">
        <v>1971</v>
      </c>
      <c r="F14" s="12" t="s">
        <v>11</v>
      </c>
      <c r="G14" s="12" t="s">
        <v>222</v>
      </c>
      <c r="H14" s="12" t="s">
        <v>223</v>
      </c>
      <c r="I14" s="12" t="s">
        <v>222</v>
      </c>
      <c r="J14" s="12" t="s">
        <v>222</v>
      </c>
      <c r="K14" s="12" t="s">
        <v>222</v>
      </c>
      <c r="L14" s="12" t="s">
        <v>222</v>
      </c>
      <c r="M14" s="12" t="s">
        <v>222</v>
      </c>
      <c r="N14" s="12" t="s">
        <v>222</v>
      </c>
      <c r="O14" s="12" t="s">
        <v>44</v>
      </c>
      <c r="P14" s="12" t="s">
        <v>222</v>
      </c>
      <c r="Q14" s="12" t="s">
        <v>223</v>
      </c>
      <c r="R14" s="12" t="s">
        <v>222</v>
      </c>
      <c r="S14" s="12" t="s">
        <v>222</v>
      </c>
      <c r="T14" s="12" t="s">
        <v>222</v>
      </c>
      <c r="U14" s="12" t="s">
        <v>222</v>
      </c>
      <c r="V14">
        <v>4</v>
      </c>
      <c r="W14">
        <v>5</v>
      </c>
      <c r="X14">
        <v>1</v>
      </c>
    </row>
    <row r="15" spans="1:24" x14ac:dyDescent="0.25">
      <c r="A15" s="12" t="s">
        <v>41</v>
      </c>
      <c r="B15" s="12" t="s">
        <v>45</v>
      </c>
      <c r="C15" s="12" t="s">
        <v>43</v>
      </c>
      <c r="D15">
        <v>1968</v>
      </c>
      <c r="E15">
        <v>1971</v>
      </c>
      <c r="F15" s="12" t="s">
        <v>19</v>
      </c>
      <c r="G15" s="12" t="s">
        <v>223</v>
      </c>
      <c r="H15" s="12" t="s">
        <v>222</v>
      </c>
      <c r="I15" s="12" t="s">
        <v>222</v>
      </c>
      <c r="J15" s="12" t="s">
        <v>222</v>
      </c>
      <c r="K15" s="12" t="s">
        <v>222</v>
      </c>
      <c r="L15" s="12" t="s">
        <v>222</v>
      </c>
      <c r="M15" s="12" t="s">
        <v>222</v>
      </c>
      <c r="N15" s="12" t="s">
        <v>222</v>
      </c>
      <c r="O15" s="12" t="s">
        <v>44</v>
      </c>
      <c r="P15" s="12" t="s">
        <v>222</v>
      </c>
      <c r="Q15" s="12" t="s">
        <v>223</v>
      </c>
      <c r="R15" s="12" t="s">
        <v>222</v>
      </c>
      <c r="S15" s="12" t="s">
        <v>222</v>
      </c>
      <c r="T15" s="12" t="s">
        <v>222</v>
      </c>
      <c r="U15" s="12" t="s">
        <v>222</v>
      </c>
      <c r="V15">
        <v>1</v>
      </c>
      <c r="W15">
        <v>3</v>
      </c>
      <c r="X15">
        <v>2</v>
      </c>
    </row>
    <row r="16" spans="1:24" x14ac:dyDescent="0.25">
      <c r="A16" s="12" t="s">
        <v>41</v>
      </c>
      <c r="B16" s="12" t="s">
        <v>46</v>
      </c>
      <c r="C16" s="12" t="s">
        <v>43</v>
      </c>
      <c r="D16">
        <v>1968</v>
      </c>
      <c r="E16">
        <v>1971</v>
      </c>
      <c r="F16" s="12" t="s">
        <v>47</v>
      </c>
      <c r="G16" s="12" t="s">
        <v>222</v>
      </c>
      <c r="H16" s="12" t="s">
        <v>222</v>
      </c>
      <c r="I16" s="12" t="s">
        <v>223</v>
      </c>
      <c r="J16" s="12" t="s">
        <v>223</v>
      </c>
      <c r="K16" s="12" t="s">
        <v>222</v>
      </c>
      <c r="L16" s="12" t="s">
        <v>222</v>
      </c>
      <c r="M16" s="12" t="s">
        <v>222</v>
      </c>
      <c r="N16" s="12" t="s">
        <v>222</v>
      </c>
      <c r="O16" s="12" t="s">
        <v>28</v>
      </c>
      <c r="P16" s="12" t="s">
        <v>223</v>
      </c>
      <c r="Q16" s="12" t="s">
        <v>222</v>
      </c>
      <c r="R16" s="12" t="s">
        <v>223</v>
      </c>
      <c r="S16" s="12" t="s">
        <v>222</v>
      </c>
      <c r="T16" s="12" t="s">
        <v>222</v>
      </c>
      <c r="U16" s="12" t="s">
        <v>222</v>
      </c>
      <c r="V16">
        <v>2</v>
      </c>
      <c r="W16">
        <v>2</v>
      </c>
      <c r="X16">
        <v>0</v>
      </c>
    </row>
    <row r="17" spans="1:24" x14ac:dyDescent="0.25">
      <c r="A17" s="12" t="s">
        <v>41</v>
      </c>
      <c r="B17" s="12" t="s">
        <v>48</v>
      </c>
      <c r="C17" s="12" t="s">
        <v>43</v>
      </c>
      <c r="D17">
        <v>1968</v>
      </c>
      <c r="E17">
        <v>1971</v>
      </c>
      <c r="F17" s="12" t="s">
        <v>49</v>
      </c>
      <c r="G17" s="12" t="s">
        <v>223</v>
      </c>
      <c r="H17" s="12" t="s">
        <v>222</v>
      </c>
      <c r="I17" s="12" t="s">
        <v>222</v>
      </c>
      <c r="J17" s="12" t="s">
        <v>223</v>
      </c>
      <c r="K17" s="12" t="s">
        <v>222</v>
      </c>
      <c r="L17" s="12" t="s">
        <v>222</v>
      </c>
      <c r="M17" s="12" t="s">
        <v>222</v>
      </c>
      <c r="N17" s="12" t="s">
        <v>222</v>
      </c>
      <c r="O17" s="12" t="s">
        <v>50</v>
      </c>
      <c r="P17" s="12" t="s">
        <v>223</v>
      </c>
      <c r="Q17" s="12" t="s">
        <v>223</v>
      </c>
      <c r="R17" s="12" t="s">
        <v>223</v>
      </c>
      <c r="S17" s="12" t="s">
        <v>222</v>
      </c>
      <c r="T17" s="12" t="s">
        <v>222</v>
      </c>
      <c r="U17" s="12" t="s">
        <v>222</v>
      </c>
      <c r="V17">
        <v>1</v>
      </c>
      <c r="W17">
        <v>2</v>
      </c>
      <c r="X17">
        <v>1</v>
      </c>
    </row>
    <row r="18" spans="1:24" x14ac:dyDescent="0.25">
      <c r="A18" s="12" t="s">
        <v>41</v>
      </c>
      <c r="B18" s="12" t="s">
        <v>51</v>
      </c>
      <c r="C18" s="12" t="s">
        <v>43</v>
      </c>
      <c r="D18">
        <v>1968</v>
      </c>
      <c r="E18">
        <v>1971</v>
      </c>
      <c r="F18" s="12" t="s">
        <v>11</v>
      </c>
      <c r="G18" s="12" t="s">
        <v>222</v>
      </c>
      <c r="H18" s="12" t="s">
        <v>223</v>
      </c>
      <c r="I18" s="12" t="s">
        <v>222</v>
      </c>
      <c r="J18" s="12" t="s">
        <v>222</v>
      </c>
      <c r="K18" s="12" t="s">
        <v>222</v>
      </c>
      <c r="L18" s="12" t="s">
        <v>222</v>
      </c>
      <c r="M18" s="12" t="s">
        <v>222</v>
      </c>
      <c r="N18" s="12" t="s">
        <v>222</v>
      </c>
      <c r="O18" s="12" t="s">
        <v>52</v>
      </c>
      <c r="P18" s="12" t="s">
        <v>222</v>
      </c>
      <c r="Q18" s="12" t="s">
        <v>223</v>
      </c>
      <c r="R18" s="12" t="s">
        <v>223</v>
      </c>
      <c r="S18" s="12" t="s">
        <v>222</v>
      </c>
      <c r="T18" s="12" t="s">
        <v>222</v>
      </c>
      <c r="U18" s="12" t="s">
        <v>222</v>
      </c>
      <c r="V18">
        <v>1</v>
      </c>
      <c r="W18">
        <v>1</v>
      </c>
      <c r="X18">
        <v>0</v>
      </c>
    </row>
    <row r="19" spans="1:24" x14ac:dyDescent="0.25">
      <c r="A19" s="12" t="s">
        <v>41</v>
      </c>
      <c r="B19" s="12" t="s">
        <v>53</v>
      </c>
      <c r="C19" s="12" t="s">
        <v>43</v>
      </c>
      <c r="D19">
        <v>1968</v>
      </c>
      <c r="E19">
        <v>1971</v>
      </c>
      <c r="F19" s="12" t="s">
        <v>54</v>
      </c>
      <c r="G19" s="12" t="s">
        <v>222</v>
      </c>
      <c r="H19" s="12" t="s">
        <v>222</v>
      </c>
      <c r="I19" s="12" t="s">
        <v>222</v>
      </c>
      <c r="J19" s="12" t="s">
        <v>222</v>
      </c>
      <c r="K19" s="12" t="s">
        <v>223</v>
      </c>
      <c r="L19" s="12" t="s">
        <v>223</v>
      </c>
      <c r="M19" s="12" t="s">
        <v>222</v>
      </c>
      <c r="N19" s="12" t="s">
        <v>222</v>
      </c>
      <c r="O19" s="12" t="s">
        <v>52</v>
      </c>
      <c r="P19" s="12" t="s">
        <v>222</v>
      </c>
      <c r="Q19" s="12" t="s">
        <v>223</v>
      </c>
      <c r="R19" s="12" t="s">
        <v>223</v>
      </c>
      <c r="S19" s="12" t="s">
        <v>222</v>
      </c>
      <c r="T19" s="12" t="s">
        <v>222</v>
      </c>
      <c r="U19" s="12" t="s">
        <v>222</v>
      </c>
      <c r="V19">
        <v>1.5</v>
      </c>
      <c r="W19">
        <v>1.5</v>
      </c>
      <c r="X19">
        <v>0</v>
      </c>
    </row>
    <row r="20" spans="1:24" x14ac:dyDescent="0.25">
      <c r="A20" s="12" t="s">
        <v>41</v>
      </c>
      <c r="B20" s="12" t="s">
        <v>55</v>
      </c>
      <c r="C20" s="12" t="s">
        <v>43</v>
      </c>
      <c r="D20">
        <v>1968</v>
      </c>
      <c r="E20">
        <v>1971</v>
      </c>
      <c r="F20" s="12" t="s">
        <v>14</v>
      </c>
      <c r="G20" s="12" t="s">
        <v>223</v>
      </c>
      <c r="H20" s="12" t="s">
        <v>223</v>
      </c>
      <c r="I20" s="12" t="s">
        <v>222</v>
      </c>
      <c r="J20" s="12" t="s">
        <v>222</v>
      </c>
      <c r="K20" s="12" t="s">
        <v>222</v>
      </c>
      <c r="L20" s="12" t="s">
        <v>222</v>
      </c>
      <c r="M20" s="12" t="s">
        <v>222</v>
      </c>
      <c r="N20" s="12" t="s">
        <v>222</v>
      </c>
      <c r="O20" s="12" t="s">
        <v>56</v>
      </c>
      <c r="P20" s="12" t="s">
        <v>223</v>
      </c>
      <c r="Q20" s="12" t="s">
        <v>223</v>
      </c>
      <c r="R20" s="12" t="s">
        <v>223</v>
      </c>
      <c r="S20" s="12" t="s">
        <v>222</v>
      </c>
      <c r="T20" s="12" t="s">
        <v>222</v>
      </c>
      <c r="U20" s="12" t="s">
        <v>222</v>
      </c>
      <c r="V20">
        <v>1.5</v>
      </c>
      <c r="W20">
        <v>1</v>
      </c>
      <c r="X20">
        <v>-0.5</v>
      </c>
    </row>
    <row r="21" spans="1:24" x14ac:dyDescent="0.25">
      <c r="A21" s="12" t="s">
        <v>41</v>
      </c>
      <c r="B21" s="12" t="s">
        <v>57</v>
      </c>
      <c r="C21" s="12" t="s">
        <v>43</v>
      </c>
      <c r="D21">
        <v>1968</v>
      </c>
      <c r="E21">
        <v>1971</v>
      </c>
      <c r="F21" s="12" t="s">
        <v>19</v>
      </c>
      <c r="G21" s="12" t="s">
        <v>223</v>
      </c>
      <c r="H21" s="12" t="s">
        <v>222</v>
      </c>
      <c r="I21" s="12" t="s">
        <v>222</v>
      </c>
      <c r="J21" s="12" t="s">
        <v>222</v>
      </c>
      <c r="K21" s="12" t="s">
        <v>222</v>
      </c>
      <c r="L21" s="12" t="s">
        <v>222</v>
      </c>
      <c r="M21" s="12" t="s">
        <v>222</v>
      </c>
      <c r="N21" s="12" t="s">
        <v>222</v>
      </c>
      <c r="O21" s="12" t="s">
        <v>58</v>
      </c>
      <c r="P21" s="12" t="s">
        <v>222</v>
      </c>
      <c r="Q21" s="12" t="s">
        <v>223</v>
      </c>
      <c r="R21" s="12" t="s">
        <v>222</v>
      </c>
      <c r="S21" s="12" t="s">
        <v>222</v>
      </c>
      <c r="T21" s="12" t="s">
        <v>223</v>
      </c>
      <c r="U21" s="12" t="s">
        <v>222</v>
      </c>
      <c r="V21">
        <v>1</v>
      </c>
      <c r="W21">
        <v>1</v>
      </c>
      <c r="X21">
        <v>0</v>
      </c>
    </row>
    <row r="22" spans="1:24" x14ac:dyDescent="0.25">
      <c r="A22" s="12" t="s">
        <v>41</v>
      </c>
      <c r="B22" s="12" t="s">
        <v>59</v>
      </c>
      <c r="C22" s="12" t="s">
        <v>43</v>
      </c>
      <c r="D22">
        <v>1968</v>
      </c>
      <c r="E22">
        <v>1971</v>
      </c>
      <c r="F22" s="12" t="s">
        <v>19</v>
      </c>
      <c r="G22" s="12" t="s">
        <v>223</v>
      </c>
      <c r="H22" s="12" t="s">
        <v>222</v>
      </c>
      <c r="I22" s="12" t="s">
        <v>222</v>
      </c>
      <c r="J22" s="12" t="s">
        <v>222</v>
      </c>
      <c r="K22" s="12" t="s">
        <v>222</v>
      </c>
      <c r="L22" s="12" t="s">
        <v>222</v>
      </c>
      <c r="M22" s="12" t="s">
        <v>222</v>
      </c>
      <c r="N22" s="12" t="s">
        <v>222</v>
      </c>
      <c r="O22" s="12" t="s">
        <v>35</v>
      </c>
      <c r="P22" s="12" t="s">
        <v>223</v>
      </c>
      <c r="Q22" s="12" t="s">
        <v>222</v>
      </c>
      <c r="R22" s="12" t="s">
        <v>222</v>
      </c>
      <c r="S22" s="12" t="s">
        <v>222</v>
      </c>
      <c r="T22" s="12" t="s">
        <v>222</v>
      </c>
      <c r="U22" s="12" t="s">
        <v>222</v>
      </c>
      <c r="V22">
        <v>2</v>
      </c>
      <c r="W22">
        <v>5</v>
      </c>
      <c r="X22">
        <v>3</v>
      </c>
    </row>
    <row r="23" spans="1:24" x14ac:dyDescent="0.25">
      <c r="A23" s="12" t="s">
        <v>41</v>
      </c>
      <c r="B23" s="12" t="s">
        <v>60</v>
      </c>
      <c r="C23" s="12" t="s">
        <v>43</v>
      </c>
      <c r="D23">
        <v>1968</v>
      </c>
      <c r="E23">
        <v>1971</v>
      </c>
      <c r="F23" s="12" t="s">
        <v>11</v>
      </c>
      <c r="G23" s="12" t="s">
        <v>222</v>
      </c>
      <c r="H23" s="12" t="s">
        <v>223</v>
      </c>
      <c r="I23" s="12" t="s">
        <v>222</v>
      </c>
      <c r="J23" s="12" t="s">
        <v>222</v>
      </c>
      <c r="K23" s="12" t="s">
        <v>222</v>
      </c>
      <c r="L23" s="12" t="s">
        <v>222</v>
      </c>
      <c r="M23" s="12" t="s">
        <v>222</v>
      </c>
      <c r="N23" s="12" t="s">
        <v>222</v>
      </c>
      <c r="O23" s="12" t="s">
        <v>52</v>
      </c>
      <c r="P23" s="12" t="s">
        <v>222</v>
      </c>
      <c r="Q23" s="12" t="s">
        <v>223</v>
      </c>
      <c r="R23" s="12" t="s">
        <v>223</v>
      </c>
      <c r="S23" s="12" t="s">
        <v>222</v>
      </c>
      <c r="T23" s="12" t="s">
        <v>222</v>
      </c>
      <c r="U23" s="12" t="s">
        <v>222</v>
      </c>
      <c r="V23">
        <v>1</v>
      </c>
      <c r="W23">
        <v>2</v>
      </c>
      <c r="X23">
        <v>1</v>
      </c>
    </row>
    <row r="24" spans="1:24" x14ac:dyDescent="0.25">
      <c r="A24" s="12" t="s">
        <v>41</v>
      </c>
      <c r="B24" s="12" t="s">
        <v>61</v>
      </c>
      <c r="C24" s="12" t="s">
        <v>43</v>
      </c>
      <c r="D24">
        <v>1968</v>
      </c>
      <c r="E24">
        <v>1971</v>
      </c>
      <c r="F24" s="12" t="s">
        <v>62</v>
      </c>
      <c r="G24" s="12" t="s">
        <v>223</v>
      </c>
      <c r="H24" s="12" t="s">
        <v>223</v>
      </c>
      <c r="I24" s="12" t="s">
        <v>222</v>
      </c>
      <c r="J24" s="12" t="s">
        <v>222</v>
      </c>
      <c r="K24" s="12" t="s">
        <v>222</v>
      </c>
      <c r="L24" s="12" t="s">
        <v>222</v>
      </c>
      <c r="M24" s="12" t="s">
        <v>222</v>
      </c>
      <c r="N24" s="12" t="s">
        <v>222</v>
      </c>
      <c r="O24" s="12" t="s">
        <v>35</v>
      </c>
      <c r="P24" s="12" t="s">
        <v>223</v>
      </c>
      <c r="Q24" s="12" t="s">
        <v>222</v>
      </c>
      <c r="R24" s="12" t="s">
        <v>222</v>
      </c>
      <c r="S24" s="12" t="s">
        <v>222</v>
      </c>
      <c r="T24" s="12" t="s">
        <v>222</v>
      </c>
      <c r="U24" s="12" t="s">
        <v>222</v>
      </c>
      <c r="V24">
        <v>4</v>
      </c>
      <c r="W24">
        <v>3</v>
      </c>
      <c r="X24">
        <v>-1</v>
      </c>
    </row>
    <row r="25" spans="1:24" x14ac:dyDescent="0.25">
      <c r="A25" s="12" t="s">
        <v>41</v>
      </c>
      <c r="B25" s="12" t="s">
        <v>63</v>
      </c>
      <c r="C25" s="12" t="s">
        <v>43</v>
      </c>
      <c r="D25">
        <v>1968</v>
      </c>
      <c r="E25">
        <v>1971</v>
      </c>
      <c r="F25" s="12" t="s">
        <v>64</v>
      </c>
      <c r="G25" s="12" t="s">
        <v>222</v>
      </c>
      <c r="H25" s="12" t="s">
        <v>222</v>
      </c>
      <c r="I25" s="12" t="s">
        <v>222</v>
      </c>
      <c r="J25" s="12" t="s">
        <v>222</v>
      </c>
      <c r="K25" s="12" t="s">
        <v>222</v>
      </c>
      <c r="L25" s="12" t="s">
        <v>222</v>
      </c>
      <c r="M25" s="12" t="s">
        <v>222</v>
      </c>
      <c r="N25" s="12" t="s">
        <v>223</v>
      </c>
      <c r="O25" s="12" t="s">
        <v>44</v>
      </c>
      <c r="P25" s="12" t="s">
        <v>222</v>
      </c>
      <c r="Q25" s="12" t="s">
        <v>223</v>
      </c>
      <c r="R25" s="12" t="s">
        <v>222</v>
      </c>
      <c r="S25" s="12" t="s">
        <v>222</v>
      </c>
      <c r="T25" s="12" t="s">
        <v>222</v>
      </c>
      <c r="U25" s="12" t="s">
        <v>222</v>
      </c>
      <c r="V25">
        <v>2</v>
      </c>
      <c r="W25">
        <v>2</v>
      </c>
      <c r="X25">
        <v>0</v>
      </c>
    </row>
    <row r="26" spans="1:24" x14ac:dyDescent="0.25">
      <c r="A26" s="12" t="s">
        <v>41</v>
      </c>
      <c r="B26" s="12" t="s">
        <v>65</v>
      </c>
      <c r="C26" s="12" t="s">
        <v>43</v>
      </c>
      <c r="D26">
        <v>1968</v>
      </c>
      <c r="E26">
        <v>1971</v>
      </c>
      <c r="F26" s="12" t="s">
        <v>47</v>
      </c>
      <c r="G26" s="12" t="s">
        <v>222</v>
      </c>
      <c r="H26" s="12" t="s">
        <v>222</v>
      </c>
      <c r="I26" s="12" t="s">
        <v>223</v>
      </c>
      <c r="J26" s="12" t="s">
        <v>223</v>
      </c>
      <c r="K26" s="12" t="s">
        <v>222</v>
      </c>
      <c r="L26" s="12" t="s">
        <v>222</v>
      </c>
      <c r="M26" s="12" t="s">
        <v>222</v>
      </c>
      <c r="N26" s="12" t="s">
        <v>222</v>
      </c>
      <c r="O26" s="12" t="s">
        <v>35</v>
      </c>
      <c r="P26" s="12" t="s">
        <v>223</v>
      </c>
      <c r="Q26" s="12" t="s">
        <v>222</v>
      </c>
      <c r="R26" s="12" t="s">
        <v>222</v>
      </c>
      <c r="S26" s="12" t="s">
        <v>222</v>
      </c>
      <c r="T26" s="12" t="s">
        <v>222</v>
      </c>
      <c r="U26" s="12" t="s">
        <v>222</v>
      </c>
      <c r="V26">
        <v>5</v>
      </c>
      <c r="W26">
        <v>5</v>
      </c>
      <c r="X26">
        <v>0</v>
      </c>
    </row>
    <row r="27" spans="1:24" x14ac:dyDescent="0.25">
      <c r="A27" s="12" t="s">
        <v>41</v>
      </c>
      <c r="B27" s="12" t="s">
        <v>66</v>
      </c>
      <c r="C27" s="12" t="s">
        <v>43</v>
      </c>
      <c r="D27">
        <v>1968</v>
      </c>
      <c r="E27">
        <v>1971</v>
      </c>
      <c r="F27" s="12" t="s">
        <v>64</v>
      </c>
      <c r="G27" s="12" t="s">
        <v>222</v>
      </c>
      <c r="H27" s="12" t="s">
        <v>222</v>
      </c>
      <c r="I27" s="12" t="s">
        <v>222</v>
      </c>
      <c r="J27" s="12" t="s">
        <v>222</v>
      </c>
      <c r="K27" s="12" t="s">
        <v>222</v>
      </c>
      <c r="L27" s="12" t="s">
        <v>222</v>
      </c>
      <c r="M27" s="12" t="s">
        <v>222</v>
      </c>
      <c r="N27" s="12" t="s">
        <v>223</v>
      </c>
      <c r="O27" s="12" t="s">
        <v>28</v>
      </c>
      <c r="P27" s="12" t="s">
        <v>223</v>
      </c>
      <c r="Q27" s="12" t="s">
        <v>222</v>
      </c>
      <c r="R27" s="12" t="s">
        <v>223</v>
      </c>
      <c r="S27" s="12" t="s">
        <v>222</v>
      </c>
      <c r="T27" s="12" t="s">
        <v>222</v>
      </c>
      <c r="U27" s="12" t="s">
        <v>222</v>
      </c>
      <c r="V27">
        <v>4</v>
      </c>
      <c r="W27">
        <v>2</v>
      </c>
      <c r="X27">
        <v>-2</v>
      </c>
    </row>
    <row r="28" spans="1:24" x14ac:dyDescent="0.25">
      <c r="A28" s="12" t="s">
        <v>41</v>
      </c>
      <c r="B28" s="12" t="s">
        <v>67</v>
      </c>
      <c r="C28" s="12" t="s">
        <v>43</v>
      </c>
      <c r="D28">
        <v>1968</v>
      </c>
      <c r="E28">
        <v>1971</v>
      </c>
      <c r="F28" s="12" t="s">
        <v>32</v>
      </c>
      <c r="G28" s="12" t="s">
        <v>222</v>
      </c>
      <c r="H28" s="12" t="s">
        <v>222</v>
      </c>
      <c r="I28" s="12" t="s">
        <v>223</v>
      </c>
      <c r="J28" s="12" t="s">
        <v>222</v>
      </c>
      <c r="K28" s="12" t="s">
        <v>222</v>
      </c>
      <c r="L28" s="12" t="s">
        <v>222</v>
      </c>
      <c r="M28" s="12" t="s">
        <v>222</v>
      </c>
      <c r="N28" s="12" t="s">
        <v>222</v>
      </c>
      <c r="O28" s="12" t="s">
        <v>68</v>
      </c>
      <c r="P28" s="12" t="s">
        <v>223</v>
      </c>
      <c r="Q28" s="12" t="s">
        <v>222</v>
      </c>
      <c r="R28" s="12" t="s">
        <v>223</v>
      </c>
      <c r="S28" s="12" t="s">
        <v>222</v>
      </c>
      <c r="T28" s="12" t="s">
        <v>223</v>
      </c>
      <c r="U28" s="12" t="s">
        <v>222</v>
      </c>
      <c r="V28">
        <v>1</v>
      </c>
      <c r="W28">
        <v>5</v>
      </c>
      <c r="X28">
        <v>4</v>
      </c>
    </row>
    <row r="29" spans="1:24" x14ac:dyDescent="0.25">
      <c r="A29" s="12" t="s">
        <v>41</v>
      </c>
      <c r="B29" s="12" t="s">
        <v>69</v>
      </c>
      <c r="C29" s="12" t="s">
        <v>43</v>
      </c>
      <c r="D29">
        <v>1968</v>
      </c>
      <c r="E29">
        <v>1971</v>
      </c>
      <c r="F29" s="12" t="s">
        <v>70</v>
      </c>
      <c r="G29" s="12" t="s">
        <v>222</v>
      </c>
      <c r="H29" s="12" t="s">
        <v>222</v>
      </c>
      <c r="I29" s="12" t="s">
        <v>223</v>
      </c>
      <c r="J29" s="12" t="s">
        <v>222</v>
      </c>
      <c r="K29" s="12" t="s">
        <v>222</v>
      </c>
      <c r="L29" s="12" t="s">
        <v>222</v>
      </c>
      <c r="M29" s="12" t="s">
        <v>222</v>
      </c>
      <c r="N29" s="12" t="s">
        <v>223</v>
      </c>
      <c r="O29" s="12" t="s">
        <v>71</v>
      </c>
      <c r="P29" s="12" t="s">
        <v>222</v>
      </c>
      <c r="Q29" s="12" t="s">
        <v>222</v>
      </c>
      <c r="R29" s="12" t="s">
        <v>223</v>
      </c>
      <c r="S29" s="12" t="s">
        <v>222</v>
      </c>
      <c r="T29" s="12" t="s">
        <v>223</v>
      </c>
      <c r="U29" s="12" t="s">
        <v>222</v>
      </c>
      <c r="V29">
        <v>2</v>
      </c>
      <c r="W29">
        <v>5</v>
      </c>
      <c r="X29">
        <v>3</v>
      </c>
    </row>
    <row r="30" spans="1:24" x14ac:dyDescent="0.25">
      <c r="A30" s="12" t="s">
        <v>41</v>
      </c>
      <c r="B30" s="12" t="s">
        <v>72</v>
      </c>
      <c r="C30" s="12" t="s">
        <v>43</v>
      </c>
      <c r="D30">
        <v>1968</v>
      </c>
      <c r="E30">
        <v>1971</v>
      </c>
      <c r="F30" s="12" t="s">
        <v>19</v>
      </c>
      <c r="G30" s="12" t="s">
        <v>223</v>
      </c>
      <c r="H30" s="12" t="s">
        <v>222</v>
      </c>
      <c r="I30" s="12" t="s">
        <v>222</v>
      </c>
      <c r="J30" s="12" t="s">
        <v>222</v>
      </c>
      <c r="K30" s="12" t="s">
        <v>222</v>
      </c>
      <c r="L30" s="12" t="s">
        <v>222</v>
      </c>
      <c r="M30" s="12" t="s">
        <v>222</v>
      </c>
      <c r="N30" s="12" t="s">
        <v>222</v>
      </c>
      <c r="O30" s="12" t="s">
        <v>56</v>
      </c>
      <c r="P30" s="12" t="s">
        <v>223</v>
      </c>
      <c r="Q30" s="12" t="s">
        <v>223</v>
      </c>
      <c r="R30" s="12" t="s">
        <v>223</v>
      </c>
      <c r="S30" s="12" t="s">
        <v>222</v>
      </c>
      <c r="T30" s="12" t="s">
        <v>222</v>
      </c>
      <c r="U30" s="12" t="s">
        <v>222</v>
      </c>
      <c r="V30">
        <v>3.5</v>
      </c>
      <c r="W30">
        <v>5</v>
      </c>
      <c r="X30">
        <v>1.5</v>
      </c>
    </row>
    <row r="31" spans="1:24" x14ac:dyDescent="0.25">
      <c r="A31" s="12" t="s">
        <v>41</v>
      </c>
      <c r="B31" s="12" t="s">
        <v>73</v>
      </c>
      <c r="C31" s="12" t="s">
        <v>43</v>
      </c>
      <c r="D31">
        <v>1968</v>
      </c>
      <c r="E31">
        <v>1971</v>
      </c>
      <c r="F31" s="12" t="s">
        <v>25</v>
      </c>
      <c r="G31" s="12" t="s">
        <v>223</v>
      </c>
      <c r="H31" s="12" t="s">
        <v>223</v>
      </c>
      <c r="I31" s="12" t="s">
        <v>223</v>
      </c>
      <c r="J31" s="12" t="s">
        <v>222</v>
      </c>
      <c r="K31" s="12" t="s">
        <v>222</v>
      </c>
      <c r="L31" s="12" t="s">
        <v>222</v>
      </c>
      <c r="M31" s="12" t="s">
        <v>222</v>
      </c>
      <c r="N31" s="12" t="s">
        <v>222</v>
      </c>
      <c r="O31" s="12" t="s">
        <v>23</v>
      </c>
      <c r="P31" s="12" t="s">
        <v>223</v>
      </c>
      <c r="Q31" s="12" t="s">
        <v>222</v>
      </c>
      <c r="R31" s="12" t="s">
        <v>222</v>
      </c>
      <c r="S31" s="12" t="s">
        <v>222</v>
      </c>
      <c r="T31" s="12" t="s">
        <v>223</v>
      </c>
      <c r="U31" s="12" t="s">
        <v>222</v>
      </c>
      <c r="V31">
        <v>1</v>
      </c>
      <c r="W31">
        <v>2</v>
      </c>
      <c r="X31">
        <v>1</v>
      </c>
    </row>
    <row r="32" spans="1:24" x14ac:dyDescent="0.25">
      <c r="A32" s="12" t="s">
        <v>41</v>
      </c>
      <c r="B32" s="12" t="s">
        <v>74</v>
      </c>
      <c r="C32" s="12" t="s">
        <v>43</v>
      </c>
      <c r="D32">
        <v>1968</v>
      </c>
      <c r="E32">
        <v>1971</v>
      </c>
      <c r="F32" s="12" t="s">
        <v>25</v>
      </c>
      <c r="G32" s="12" t="s">
        <v>223</v>
      </c>
      <c r="H32" s="12" t="s">
        <v>223</v>
      </c>
      <c r="I32" s="12" t="s">
        <v>223</v>
      </c>
      <c r="J32" s="12" t="s">
        <v>222</v>
      </c>
      <c r="K32" s="12" t="s">
        <v>222</v>
      </c>
      <c r="L32" s="12" t="s">
        <v>222</v>
      </c>
      <c r="M32" s="12" t="s">
        <v>222</v>
      </c>
      <c r="N32" s="12" t="s">
        <v>222</v>
      </c>
      <c r="O32" s="12" t="s">
        <v>75</v>
      </c>
      <c r="P32" s="12" t="s">
        <v>223</v>
      </c>
      <c r="Q32" s="12" t="s">
        <v>223</v>
      </c>
      <c r="R32" s="12" t="s">
        <v>223</v>
      </c>
      <c r="S32" s="12" t="s">
        <v>222</v>
      </c>
      <c r="T32" s="12" t="s">
        <v>223</v>
      </c>
      <c r="U32" s="12" t="s">
        <v>222</v>
      </c>
      <c r="V32">
        <v>1</v>
      </c>
      <c r="W32">
        <v>2.5</v>
      </c>
      <c r="X32">
        <v>1.5</v>
      </c>
    </row>
    <row r="33" spans="1:24" x14ac:dyDescent="0.25">
      <c r="A33" s="12" t="s">
        <v>41</v>
      </c>
      <c r="B33" s="12" t="s">
        <v>76</v>
      </c>
      <c r="C33" s="12" t="s">
        <v>43</v>
      </c>
      <c r="D33">
        <v>1968</v>
      </c>
      <c r="E33">
        <v>1971</v>
      </c>
      <c r="F33" s="12" t="s">
        <v>14</v>
      </c>
      <c r="G33" s="12" t="s">
        <v>223</v>
      </c>
      <c r="H33" s="12" t="s">
        <v>223</v>
      </c>
      <c r="I33" s="12" t="s">
        <v>222</v>
      </c>
      <c r="J33" s="12" t="s">
        <v>222</v>
      </c>
      <c r="K33" s="12" t="s">
        <v>222</v>
      </c>
      <c r="L33" s="12" t="s">
        <v>222</v>
      </c>
      <c r="M33" s="12" t="s">
        <v>222</v>
      </c>
      <c r="N33" s="12" t="s">
        <v>222</v>
      </c>
      <c r="O33" s="12" t="s">
        <v>77</v>
      </c>
      <c r="P33" s="12" t="s">
        <v>222</v>
      </c>
      <c r="Q33" s="12" t="s">
        <v>223</v>
      </c>
      <c r="R33" s="12" t="s">
        <v>222</v>
      </c>
      <c r="S33" s="12" t="s">
        <v>222</v>
      </c>
      <c r="T33" s="12" t="s">
        <v>223</v>
      </c>
      <c r="U33" s="12" t="s">
        <v>222</v>
      </c>
      <c r="V33">
        <v>1</v>
      </c>
      <c r="W33">
        <v>2</v>
      </c>
      <c r="X33">
        <v>1</v>
      </c>
    </row>
    <row r="34" spans="1:24" x14ac:dyDescent="0.25">
      <c r="A34" s="12" t="s">
        <v>41</v>
      </c>
      <c r="B34" s="12" t="s">
        <v>78</v>
      </c>
      <c r="C34" s="12" t="s">
        <v>43</v>
      </c>
      <c r="D34">
        <v>1968</v>
      </c>
      <c r="E34">
        <v>1971</v>
      </c>
      <c r="F34" s="12" t="s">
        <v>11</v>
      </c>
      <c r="G34" s="12" t="s">
        <v>222</v>
      </c>
      <c r="H34" s="12" t="s">
        <v>223</v>
      </c>
      <c r="I34" s="12" t="s">
        <v>222</v>
      </c>
      <c r="J34" s="12" t="s">
        <v>222</v>
      </c>
      <c r="K34" s="12" t="s">
        <v>222</v>
      </c>
      <c r="L34" s="12" t="s">
        <v>222</v>
      </c>
      <c r="M34" s="12" t="s">
        <v>222</v>
      </c>
      <c r="N34" s="12" t="s">
        <v>222</v>
      </c>
      <c r="O34" s="12" t="s">
        <v>77</v>
      </c>
      <c r="P34" s="12" t="s">
        <v>222</v>
      </c>
      <c r="Q34" s="12" t="s">
        <v>223</v>
      </c>
      <c r="R34" s="12" t="s">
        <v>222</v>
      </c>
      <c r="S34" s="12" t="s">
        <v>222</v>
      </c>
      <c r="T34" s="12" t="s">
        <v>223</v>
      </c>
      <c r="U34" s="12" t="s">
        <v>222</v>
      </c>
      <c r="V34">
        <v>1</v>
      </c>
      <c r="W34">
        <v>3.5</v>
      </c>
      <c r="X34">
        <v>2.5</v>
      </c>
    </row>
    <row r="35" spans="1:24" x14ac:dyDescent="0.25">
      <c r="A35" s="12" t="s">
        <v>41</v>
      </c>
      <c r="B35" s="12" t="s">
        <v>79</v>
      </c>
      <c r="C35" s="12" t="s">
        <v>43</v>
      </c>
      <c r="D35">
        <v>1968</v>
      </c>
      <c r="E35">
        <v>1971</v>
      </c>
      <c r="F35" s="12" t="s">
        <v>19</v>
      </c>
      <c r="G35" s="12" t="s">
        <v>223</v>
      </c>
      <c r="H35" s="12" t="s">
        <v>222</v>
      </c>
      <c r="I35" s="12" t="s">
        <v>222</v>
      </c>
      <c r="J35" s="12" t="s">
        <v>222</v>
      </c>
      <c r="K35" s="12" t="s">
        <v>222</v>
      </c>
      <c r="L35" s="12" t="s">
        <v>222</v>
      </c>
      <c r="M35" s="12" t="s">
        <v>222</v>
      </c>
      <c r="N35" s="12" t="s">
        <v>222</v>
      </c>
      <c r="O35" s="12" t="s">
        <v>77</v>
      </c>
      <c r="P35" s="12" t="s">
        <v>222</v>
      </c>
      <c r="Q35" s="12" t="s">
        <v>223</v>
      </c>
      <c r="R35" s="12" t="s">
        <v>222</v>
      </c>
      <c r="S35" s="12" t="s">
        <v>222</v>
      </c>
      <c r="T35" s="12" t="s">
        <v>223</v>
      </c>
      <c r="U35" s="12" t="s">
        <v>222</v>
      </c>
      <c r="V35">
        <v>2</v>
      </c>
      <c r="W35">
        <v>3</v>
      </c>
      <c r="X35">
        <v>1</v>
      </c>
    </row>
    <row r="36" spans="1:24" x14ac:dyDescent="0.25">
      <c r="A36" s="12" t="s">
        <v>41</v>
      </c>
      <c r="B36" s="12" t="s">
        <v>80</v>
      </c>
      <c r="C36" s="12" t="s">
        <v>43</v>
      </c>
      <c r="D36">
        <v>1968</v>
      </c>
      <c r="E36">
        <v>1971</v>
      </c>
      <c r="F36" s="12" t="s">
        <v>11</v>
      </c>
      <c r="G36" s="12" t="s">
        <v>222</v>
      </c>
      <c r="H36" s="12" t="s">
        <v>223</v>
      </c>
      <c r="I36" s="12" t="s">
        <v>222</v>
      </c>
      <c r="J36" s="12" t="s">
        <v>222</v>
      </c>
      <c r="K36" s="12" t="s">
        <v>222</v>
      </c>
      <c r="L36" s="12" t="s">
        <v>222</v>
      </c>
      <c r="M36" s="12" t="s">
        <v>222</v>
      </c>
      <c r="N36" s="12" t="s">
        <v>222</v>
      </c>
      <c r="O36" s="12" t="s">
        <v>77</v>
      </c>
      <c r="P36" s="12" t="s">
        <v>222</v>
      </c>
      <c r="Q36" s="12" t="s">
        <v>223</v>
      </c>
      <c r="R36" s="12" t="s">
        <v>222</v>
      </c>
      <c r="S36" s="12" t="s">
        <v>222</v>
      </c>
      <c r="T36" s="12" t="s">
        <v>223</v>
      </c>
      <c r="U36" s="12" t="s">
        <v>222</v>
      </c>
      <c r="V36">
        <v>1</v>
      </c>
      <c r="W36">
        <v>2.5</v>
      </c>
      <c r="X36">
        <v>1.5</v>
      </c>
    </row>
    <row r="37" spans="1:24" x14ac:dyDescent="0.25">
      <c r="A37" s="12" t="s">
        <v>41</v>
      </c>
      <c r="B37" s="12" t="s">
        <v>81</v>
      </c>
      <c r="C37" s="12" t="s">
        <v>43</v>
      </c>
      <c r="D37">
        <v>1968</v>
      </c>
      <c r="E37">
        <v>1971</v>
      </c>
      <c r="F37" s="12" t="s">
        <v>25</v>
      </c>
      <c r="G37" s="12" t="s">
        <v>223</v>
      </c>
      <c r="H37" s="12" t="s">
        <v>223</v>
      </c>
      <c r="I37" s="12" t="s">
        <v>223</v>
      </c>
      <c r="J37" s="12" t="s">
        <v>222</v>
      </c>
      <c r="K37" s="12" t="s">
        <v>222</v>
      </c>
      <c r="L37" s="12" t="s">
        <v>222</v>
      </c>
      <c r="M37" s="12" t="s">
        <v>222</v>
      </c>
      <c r="N37" s="12" t="s">
        <v>222</v>
      </c>
      <c r="O37" s="12" t="s">
        <v>77</v>
      </c>
      <c r="P37" s="12" t="s">
        <v>222</v>
      </c>
      <c r="Q37" s="12" t="s">
        <v>223</v>
      </c>
      <c r="R37" s="12" t="s">
        <v>222</v>
      </c>
      <c r="S37" s="12" t="s">
        <v>222</v>
      </c>
      <c r="T37" s="12" t="s">
        <v>223</v>
      </c>
      <c r="U37" s="12" t="s">
        <v>222</v>
      </c>
      <c r="V37">
        <v>1</v>
      </c>
      <c r="W37">
        <v>1.5</v>
      </c>
      <c r="X37">
        <v>0.5</v>
      </c>
    </row>
    <row r="38" spans="1:24" x14ac:dyDescent="0.25">
      <c r="A38" s="12" t="s">
        <v>41</v>
      </c>
      <c r="B38" s="12" t="s">
        <v>82</v>
      </c>
      <c r="C38" s="12" t="s">
        <v>43</v>
      </c>
      <c r="D38">
        <v>1968</v>
      </c>
      <c r="E38">
        <v>1971</v>
      </c>
      <c r="F38" s="12" t="s">
        <v>83</v>
      </c>
      <c r="G38" s="12" t="s">
        <v>223</v>
      </c>
      <c r="H38" s="12" t="s">
        <v>223</v>
      </c>
      <c r="I38" s="12" t="s">
        <v>222</v>
      </c>
      <c r="J38" s="12" t="s">
        <v>222</v>
      </c>
      <c r="K38" s="12" t="s">
        <v>222</v>
      </c>
      <c r="L38" s="12" t="s">
        <v>223</v>
      </c>
      <c r="M38" s="12" t="s">
        <v>222</v>
      </c>
      <c r="N38" s="12" t="s">
        <v>222</v>
      </c>
      <c r="O38" s="12" t="s">
        <v>77</v>
      </c>
      <c r="P38" s="12" t="s">
        <v>222</v>
      </c>
      <c r="Q38" s="12" t="s">
        <v>223</v>
      </c>
      <c r="R38" s="12" t="s">
        <v>222</v>
      </c>
      <c r="S38" s="12" t="s">
        <v>222</v>
      </c>
      <c r="T38" s="12" t="s">
        <v>223</v>
      </c>
      <c r="U38" s="12" t="s">
        <v>222</v>
      </c>
      <c r="V38">
        <v>1</v>
      </c>
      <c r="W38">
        <v>2</v>
      </c>
      <c r="X38">
        <v>1</v>
      </c>
    </row>
    <row r="39" spans="1:24" x14ac:dyDescent="0.25">
      <c r="A39" s="12" t="s">
        <v>41</v>
      </c>
      <c r="B39" s="12" t="s">
        <v>84</v>
      </c>
      <c r="C39" s="12" t="s">
        <v>43</v>
      </c>
      <c r="D39">
        <v>1968</v>
      </c>
      <c r="E39">
        <v>1971</v>
      </c>
      <c r="F39" s="12" t="s">
        <v>11</v>
      </c>
      <c r="G39" s="12" t="s">
        <v>222</v>
      </c>
      <c r="H39" s="12" t="s">
        <v>223</v>
      </c>
      <c r="I39" s="12" t="s">
        <v>222</v>
      </c>
      <c r="J39" s="12" t="s">
        <v>222</v>
      </c>
      <c r="K39" s="12" t="s">
        <v>222</v>
      </c>
      <c r="L39" s="12" t="s">
        <v>222</v>
      </c>
      <c r="M39" s="12" t="s">
        <v>222</v>
      </c>
      <c r="N39" s="12" t="s">
        <v>222</v>
      </c>
      <c r="O39" s="12" t="s">
        <v>33</v>
      </c>
      <c r="P39" s="12" t="s">
        <v>223</v>
      </c>
      <c r="Q39" s="12" t="s">
        <v>223</v>
      </c>
      <c r="R39" s="12" t="s">
        <v>222</v>
      </c>
      <c r="S39" s="12" t="s">
        <v>222</v>
      </c>
      <c r="T39" s="12" t="s">
        <v>223</v>
      </c>
      <c r="U39" s="12" t="s">
        <v>222</v>
      </c>
      <c r="V39">
        <v>1</v>
      </c>
      <c r="W39">
        <v>1</v>
      </c>
      <c r="X39">
        <v>0</v>
      </c>
    </row>
    <row r="40" spans="1:24" x14ac:dyDescent="0.25">
      <c r="A40" s="12" t="s">
        <v>41</v>
      </c>
      <c r="B40" s="12" t="s">
        <v>85</v>
      </c>
      <c r="C40" s="12" t="s">
        <v>43</v>
      </c>
      <c r="D40">
        <v>1968</v>
      </c>
      <c r="E40">
        <v>1971</v>
      </c>
      <c r="F40" s="12" t="s">
        <v>86</v>
      </c>
      <c r="G40" s="12" t="s">
        <v>223</v>
      </c>
      <c r="H40" s="12" t="s">
        <v>223</v>
      </c>
      <c r="I40" s="12" t="s">
        <v>222</v>
      </c>
      <c r="J40" s="12" t="s">
        <v>222</v>
      </c>
      <c r="K40" s="12" t="s">
        <v>222</v>
      </c>
      <c r="L40" s="12" t="s">
        <v>223</v>
      </c>
      <c r="M40" s="12" t="s">
        <v>222</v>
      </c>
      <c r="N40" s="12" t="s">
        <v>223</v>
      </c>
      <c r="O40" s="12" t="s">
        <v>40</v>
      </c>
      <c r="P40" s="12" t="s">
        <v>222</v>
      </c>
      <c r="Q40" s="12" t="s">
        <v>222</v>
      </c>
      <c r="R40" s="12" t="s">
        <v>223</v>
      </c>
      <c r="S40" s="12" t="s">
        <v>222</v>
      </c>
      <c r="T40" s="12" t="s">
        <v>222</v>
      </c>
      <c r="U40" s="12" t="s">
        <v>222</v>
      </c>
      <c r="V40">
        <v>1</v>
      </c>
      <c r="W40">
        <v>2</v>
      </c>
      <c r="X40">
        <v>1</v>
      </c>
    </row>
    <row r="41" spans="1:24" x14ac:dyDescent="0.25">
      <c r="A41" s="12" t="s">
        <v>41</v>
      </c>
      <c r="B41" s="12" t="s">
        <v>87</v>
      </c>
      <c r="C41" s="12" t="s">
        <v>43</v>
      </c>
      <c r="D41">
        <v>1968</v>
      </c>
      <c r="E41">
        <v>1971</v>
      </c>
      <c r="F41" s="12" t="s">
        <v>32</v>
      </c>
      <c r="G41" s="12" t="s">
        <v>222</v>
      </c>
      <c r="H41" s="12" t="s">
        <v>222</v>
      </c>
      <c r="I41" s="12" t="s">
        <v>223</v>
      </c>
      <c r="J41" s="12" t="s">
        <v>222</v>
      </c>
      <c r="K41" s="12" t="s">
        <v>222</v>
      </c>
      <c r="L41" s="12" t="s">
        <v>222</v>
      </c>
      <c r="M41" s="12" t="s">
        <v>222</v>
      </c>
      <c r="N41" s="12" t="s">
        <v>222</v>
      </c>
      <c r="O41" s="12" t="s">
        <v>88</v>
      </c>
      <c r="P41" s="12" t="s">
        <v>223</v>
      </c>
      <c r="Q41" s="12" t="s">
        <v>223</v>
      </c>
      <c r="R41" s="12" t="s">
        <v>222</v>
      </c>
      <c r="S41" s="12" t="s">
        <v>222</v>
      </c>
      <c r="T41" s="12" t="s">
        <v>222</v>
      </c>
      <c r="U41" s="12" t="s">
        <v>222</v>
      </c>
      <c r="V41">
        <v>1</v>
      </c>
      <c r="W41">
        <v>2</v>
      </c>
      <c r="X41">
        <v>1</v>
      </c>
    </row>
    <row r="42" spans="1:24" x14ac:dyDescent="0.25">
      <c r="A42" s="12" t="s">
        <v>41</v>
      </c>
      <c r="B42" s="12" t="s">
        <v>89</v>
      </c>
      <c r="C42" s="12" t="s">
        <v>43</v>
      </c>
      <c r="D42">
        <v>1968</v>
      </c>
      <c r="E42">
        <v>1971</v>
      </c>
      <c r="F42" s="12" t="s">
        <v>11</v>
      </c>
      <c r="G42" s="12" t="s">
        <v>222</v>
      </c>
      <c r="H42" s="12" t="s">
        <v>223</v>
      </c>
      <c r="I42" s="12" t="s">
        <v>222</v>
      </c>
      <c r="J42" s="12" t="s">
        <v>222</v>
      </c>
      <c r="K42" s="12" t="s">
        <v>222</v>
      </c>
      <c r="L42" s="12" t="s">
        <v>222</v>
      </c>
      <c r="M42" s="12" t="s">
        <v>222</v>
      </c>
      <c r="N42" s="12" t="s">
        <v>222</v>
      </c>
      <c r="O42" s="12" t="s">
        <v>77</v>
      </c>
      <c r="P42" s="12" t="s">
        <v>222</v>
      </c>
      <c r="Q42" s="12" t="s">
        <v>223</v>
      </c>
      <c r="R42" s="12" t="s">
        <v>222</v>
      </c>
      <c r="S42" s="12" t="s">
        <v>222</v>
      </c>
      <c r="T42" s="12" t="s">
        <v>223</v>
      </c>
      <c r="U42" s="12" t="s">
        <v>222</v>
      </c>
      <c r="V42">
        <v>1</v>
      </c>
      <c r="W42">
        <v>2</v>
      </c>
      <c r="X42">
        <v>1</v>
      </c>
    </row>
    <row r="43" spans="1:24" x14ac:dyDescent="0.25">
      <c r="A43" s="12" t="s">
        <v>41</v>
      </c>
      <c r="B43" s="12" t="s">
        <v>90</v>
      </c>
      <c r="C43" s="12" t="s">
        <v>43</v>
      </c>
      <c r="D43">
        <v>1968</v>
      </c>
      <c r="E43">
        <v>1971</v>
      </c>
      <c r="F43" s="12" t="s">
        <v>19</v>
      </c>
      <c r="G43" s="12" t="s">
        <v>223</v>
      </c>
      <c r="H43" s="12" t="s">
        <v>222</v>
      </c>
      <c r="I43" s="12" t="s">
        <v>222</v>
      </c>
      <c r="J43" s="12" t="s">
        <v>222</v>
      </c>
      <c r="K43" s="12" t="s">
        <v>222</v>
      </c>
      <c r="L43" s="12" t="s">
        <v>222</v>
      </c>
      <c r="M43" s="12" t="s">
        <v>222</v>
      </c>
      <c r="N43" s="12" t="s">
        <v>222</v>
      </c>
      <c r="O43" s="12" t="s">
        <v>91</v>
      </c>
      <c r="P43" s="12" t="s">
        <v>222</v>
      </c>
      <c r="Q43" s="12" t="s">
        <v>223</v>
      </c>
      <c r="R43" s="12" t="s">
        <v>222</v>
      </c>
      <c r="S43" s="12" t="s">
        <v>222</v>
      </c>
      <c r="T43" s="12" t="s">
        <v>223</v>
      </c>
      <c r="U43" s="12" t="s">
        <v>223</v>
      </c>
      <c r="V43">
        <v>1</v>
      </c>
      <c r="W43">
        <v>2</v>
      </c>
      <c r="X43">
        <v>1</v>
      </c>
    </row>
    <row r="44" spans="1:24" x14ac:dyDescent="0.25">
      <c r="A44" s="12" t="s">
        <v>41</v>
      </c>
      <c r="B44" s="12" t="s">
        <v>92</v>
      </c>
      <c r="C44" s="12" t="s">
        <v>43</v>
      </c>
      <c r="D44">
        <v>1968</v>
      </c>
      <c r="E44">
        <v>1971</v>
      </c>
      <c r="F44" s="12" t="s">
        <v>19</v>
      </c>
      <c r="G44" s="12" t="s">
        <v>223</v>
      </c>
      <c r="H44" s="12" t="s">
        <v>222</v>
      </c>
      <c r="I44" s="12" t="s">
        <v>222</v>
      </c>
      <c r="J44" s="12" t="s">
        <v>222</v>
      </c>
      <c r="K44" s="12" t="s">
        <v>222</v>
      </c>
      <c r="L44" s="12" t="s">
        <v>222</v>
      </c>
      <c r="M44" s="12" t="s">
        <v>222</v>
      </c>
      <c r="N44" s="12" t="s">
        <v>222</v>
      </c>
      <c r="O44" s="12" t="s">
        <v>93</v>
      </c>
      <c r="P44" s="12" t="s">
        <v>222</v>
      </c>
      <c r="Q44" s="12" t="s">
        <v>222</v>
      </c>
      <c r="R44" s="12" t="s">
        <v>222</v>
      </c>
      <c r="S44" s="12" t="s">
        <v>222</v>
      </c>
      <c r="T44" s="12" t="s">
        <v>223</v>
      </c>
      <c r="U44" s="12" t="s">
        <v>222</v>
      </c>
      <c r="V44">
        <v>1</v>
      </c>
      <c r="W44">
        <v>2</v>
      </c>
      <c r="X44">
        <v>1</v>
      </c>
    </row>
    <row r="45" spans="1:24" x14ac:dyDescent="0.25">
      <c r="A45" s="12" t="s">
        <v>41</v>
      </c>
      <c r="B45" s="12" t="s">
        <v>94</v>
      </c>
      <c r="C45" s="12" t="s">
        <v>43</v>
      </c>
      <c r="D45">
        <v>1968</v>
      </c>
      <c r="E45">
        <v>1971</v>
      </c>
      <c r="F45" s="12" t="s">
        <v>32</v>
      </c>
      <c r="G45" s="12" t="s">
        <v>222</v>
      </c>
      <c r="H45" s="12" t="s">
        <v>222</v>
      </c>
      <c r="I45" s="12" t="s">
        <v>223</v>
      </c>
      <c r="J45" s="12" t="s">
        <v>222</v>
      </c>
      <c r="K45" s="12" t="s">
        <v>222</v>
      </c>
      <c r="L45" s="12" t="s">
        <v>222</v>
      </c>
      <c r="M45" s="12" t="s">
        <v>222</v>
      </c>
      <c r="N45" s="12" t="s">
        <v>222</v>
      </c>
      <c r="O45" s="12" t="s">
        <v>88</v>
      </c>
      <c r="P45" s="12" t="s">
        <v>223</v>
      </c>
      <c r="Q45" s="12" t="s">
        <v>223</v>
      </c>
      <c r="R45" s="12" t="s">
        <v>222</v>
      </c>
      <c r="S45" s="12" t="s">
        <v>222</v>
      </c>
      <c r="T45" s="12" t="s">
        <v>222</v>
      </c>
      <c r="U45" s="12" t="s">
        <v>222</v>
      </c>
      <c r="V45">
        <v>1</v>
      </c>
      <c r="W45">
        <v>5</v>
      </c>
      <c r="X45">
        <v>4</v>
      </c>
    </row>
    <row r="46" spans="1:24" x14ac:dyDescent="0.25">
      <c r="A46" s="12" t="s">
        <v>41</v>
      </c>
      <c r="B46" s="12" t="s">
        <v>95</v>
      </c>
      <c r="C46" s="12" t="s">
        <v>43</v>
      </c>
      <c r="D46">
        <v>1968</v>
      </c>
      <c r="E46">
        <v>1971</v>
      </c>
      <c r="F46" s="12" t="s">
        <v>96</v>
      </c>
      <c r="G46" s="12" t="s">
        <v>222</v>
      </c>
      <c r="H46" s="12" t="s">
        <v>222</v>
      </c>
      <c r="I46" s="12" t="s">
        <v>222</v>
      </c>
      <c r="J46" s="12" t="s">
        <v>222</v>
      </c>
      <c r="K46" s="12" t="s">
        <v>222</v>
      </c>
      <c r="L46" s="12" t="s">
        <v>222</v>
      </c>
      <c r="M46" s="12" t="s">
        <v>223</v>
      </c>
      <c r="N46" s="12" t="s">
        <v>222</v>
      </c>
      <c r="O46" s="12" t="s">
        <v>44</v>
      </c>
      <c r="P46" s="12" t="s">
        <v>222</v>
      </c>
      <c r="Q46" s="12" t="s">
        <v>223</v>
      </c>
      <c r="R46" s="12" t="s">
        <v>222</v>
      </c>
      <c r="S46" s="12" t="s">
        <v>222</v>
      </c>
      <c r="T46" s="12" t="s">
        <v>222</v>
      </c>
      <c r="U46" s="12" t="s">
        <v>222</v>
      </c>
      <c r="V46">
        <v>1</v>
      </c>
      <c r="W46">
        <v>2</v>
      </c>
      <c r="X46">
        <v>1</v>
      </c>
    </row>
    <row r="47" spans="1:24" x14ac:dyDescent="0.25">
      <c r="A47" s="12" t="s">
        <v>41</v>
      </c>
      <c r="B47" s="12" t="s">
        <v>97</v>
      </c>
      <c r="C47" s="12" t="s">
        <v>43</v>
      </c>
      <c r="D47">
        <v>1968</v>
      </c>
      <c r="E47">
        <v>1971</v>
      </c>
      <c r="F47" s="12" t="s">
        <v>19</v>
      </c>
      <c r="G47" s="12" t="s">
        <v>223</v>
      </c>
      <c r="H47" s="12" t="s">
        <v>222</v>
      </c>
      <c r="I47" s="12" t="s">
        <v>222</v>
      </c>
      <c r="J47" s="12" t="s">
        <v>222</v>
      </c>
      <c r="K47" s="12" t="s">
        <v>222</v>
      </c>
      <c r="L47" s="12" t="s">
        <v>222</v>
      </c>
      <c r="M47" s="12" t="s">
        <v>222</v>
      </c>
      <c r="N47" s="12" t="s">
        <v>222</v>
      </c>
      <c r="O47" s="12" t="s">
        <v>98</v>
      </c>
      <c r="P47" s="12" t="s">
        <v>223</v>
      </c>
      <c r="Q47" s="12" t="s">
        <v>223</v>
      </c>
      <c r="R47" s="12" t="s">
        <v>222</v>
      </c>
      <c r="S47" s="12" t="s">
        <v>222</v>
      </c>
      <c r="T47" s="12" t="s">
        <v>222</v>
      </c>
      <c r="U47" s="12" t="s">
        <v>223</v>
      </c>
      <c r="V47">
        <v>5</v>
      </c>
      <c r="W47">
        <v>3</v>
      </c>
      <c r="X47">
        <v>2</v>
      </c>
    </row>
    <row r="48" spans="1:24" x14ac:dyDescent="0.25">
      <c r="A48" s="12" t="s">
        <v>41</v>
      </c>
      <c r="B48" s="12" t="s">
        <v>99</v>
      </c>
      <c r="C48" s="12" t="s">
        <v>43</v>
      </c>
      <c r="D48">
        <v>1968</v>
      </c>
      <c r="E48">
        <v>1971</v>
      </c>
      <c r="F48" s="12" t="s">
        <v>19</v>
      </c>
      <c r="G48" s="12" t="s">
        <v>223</v>
      </c>
      <c r="H48" s="12" t="s">
        <v>222</v>
      </c>
      <c r="I48" s="12" t="s">
        <v>222</v>
      </c>
      <c r="J48" s="12" t="s">
        <v>222</v>
      </c>
      <c r="K48" s="12" t="s">
        <v>222</v>
      </c>
      <c r="L48" s="12" t="s">
        <v>222</v>
      </c>
      <c r="M48" s="12" t="s">
        <v>222</v>
      </c>
      <c r="N48" s="12" t="s">
        <v>222</v>
      </c>
      <c r="O48" s="12" t="s">
        <v>23</v>
      </c>
      <c r="P48" s="12" t="s">
        <v>223</v>
      </c>
      <c r="Q48" s="12" t="s">
        <v>222</v>
      </c>
      <c r="R48" s="12" t="s">
        <v>222</v>
      </c>
      <c r="S48" s="12" t="s">
        <v>222</v>
      </c>
      <c r="T48" s="12" t="s">
        <v>223</v>
      </c>
      <c r="U48" s="12" t="s">
        <v>222</v>
      </c>
      <c r="V48">
        <v>1</v>
      </c>
      <c r="W48">
        <v>2</v>
      </c>
      <c r="X48">
        <v>1</v>
      </c>
    </row>
    <row r="49" spans="1:24" x14ac:dyDescent="0.25">
      <c r="A49" s="12" t="s">
        <v>41</v>
      </c>
      <c r="B49" s="12" t="s">
        <v>100</v>
      </c>
      <c r="C49" s="12" t="s">
        <v>43</v>
      </c>
      <c r="D49">
        <v>1968</v>
      </c>
      <c r="E49">
        <v>1971</v>
      </c>
      <c r="F49" s="12" t="s">
        <v>11</v>
      </c>
      <c r="G49" s="12" t="s">
        <v>222</v>
      </c>
      <c r="H49" s="12" t="s">
        <v>223</v>
      </c>
      <c r="I49" s="12" t="s">
        <v>222</v>
      </c>
      <c r="J49" s="12" t="s">
        <v>222</v>
      </c>
      <c r="K49" s="12" t="s">
        <v>222</v>
      </c>
      <c r="L49" s="12" t="s">
        <v>222</v>
      </c>
      <c r="M49" s="12" t="s">
        <v>222</v>
      </c>
      <c r="N49" s="12" t="s">
        <v>222</v>
      </c>
      <c r="O49" s="12" t="s">
        <v>77</v>
      </c>
      <c r="P49" s="12" t="s">
        <v>222</v>
      </c>
      <c r="Q49" s="12" t="s">
        <v>223</v>
      </c>
      <c r="R49" s="12" t="s">
        <v>222</v>
      </c>
      <c r="S49" s="12" t="s">
        <v>222</v>
      </c>
      <c r="T49" s="12" t="s">
        <v>223</v>
      </c>
      <c r="U49" s="12" t="s">
        <v>222</v>
      </c>
      <c r="V49">
        <v>1</v>
      </c>
      <c r="W49">
        <v>2</v>
      </c>
      <c r="X49">
        <v>1</v>
      </c>
    </row>
    <row r="50" spans="1:24" x14ac:dyDescent="0.25">
      <c r="A50" s="12" t="s">
        <v>41</v>
      </c>
      <c r="B50" s="12" t="s">
        <v>101</v>
      </c>
      <c r="C50" s="12" t="s">
        <v>43</v>
      </c>
      <c r="D50">
        <v>1968</v>
      </c>
      <c r="E50">
        <v>1971</v>
      </c>
      <c r="F50" s="12" t="s">
        <v>19</v>
      </c>
      <c r="G50" s="12" t="s">
        <v>223</v>
      </c>
      <c r="H50" s="12" t="s">
        <v>222</v>
      </c>
      <c r="I50" s="12" t="s">
        <v>222</v>
      </c>
      <c r="J50" s="12" t="s">
        <v>222</v>
      </c>
      <c r="K50" s="12" t="s">
        <v>222</v>
      </c>
      <c r="L50" s="12" t="s">
        <v>222</v>
      </c>
      <c r="M50" s="12" t="s">
        <v>222</v>
      </c>
      <c r="N50" s="12" t="s">
        <v>222</v>
      </c>
      <c r="O50" s="12" t="s">
        <v>102</v>
      </c>
      <c r="P50" s="12" t="s">
        <v>222</v>
      </c>
      <c r="Q50" s="12" t="s">
        <v>223</v>
      </c>
      <c r="R50" s="12" t="s">
        <v>222</v>
      </c>
      <c r="S50" s="12" t="s">
        <v>222</v>
      </c>
      <c r="T50" s="12" t="s">
        <v>222</v>
      </c>
      <c r="U50" s="12" t="s">
        <v>223</v>
      </c>
      <c r="V50">
        <v>1</v>
      </c>
      <c r="W50">
        <v>2</v>
      </c>
      <c r="X50">
        <v>1</v>
      </c>
    </row>
    <row r="51" spans="1:24" x14ac:dyDescent="0.25">
      <c r="A51" s="12" t="s">
        <v>41</v>
      </c>
      <c r="B51" s="12" t="s">
        <v>103</v>
      </c>
      <c r="C51" s="12" t="s">
        <v>43</v>
      </c>
      <c r="D51">
        <v>1968</v>
      </c>
      <c r="E51">
        <v>1971</v>
      </c>
      <c r="F51" s="12" t="s">
        <v>19</v>
      </c>
      <c r="G51" s="12" t="s">
        <v>223</v>
      </c>
      <c r="H51" s="12" t="s">
        <v>222</v>
      </c>
      <c r="I51" s="12" t="s">
        <v>222</v>
      </c>
      <c r="J51" s="12" t="s">
        <v>222</v>
      </c>
      <c r="K51" s="12" t="s">
        <v>222</v>
      </c>
      <c r="L51" s="12" t="s">
        <v>222</v>
      </c>
      <c r="M51" s="12" t="s">
        <v>222</v>
      </c>
      <c r="N51" s="12" t="s">
        <v>222</v>
      </c>
      <c r="O51" s="12" t="s">
        <v>104</v>
      </c>
      <c r="P51" s="12" t="s">
        <v>222</v>
      </c>
      <c r="Q51" s="12" t="s">
        <v>222</v>
      </c>
      <c r="R51" s="12" t="s">
        <v>222</v>
      </c>
      <c r="S51" s="12" t="s">
        <v>222</v>
      </c>
      <c r="T51" s="12" t="s">
        <v>223</v>
      </c>
      <c r="U51" s="12" t="s">
        <v>223</v>
      </c>
      <c r="V51">
        <v>1</v>
      </c>
      <c r="W51">
        <v>2</v>
      </c>
      <c r="X51">
        <v>1</v>
      </c>
    </row>
    <row r="52" spans="1:24" x14ac:dyDescent="0.25">
      <c r="A52" s="12" t="s">
        <v>41</v>
      </c>
      <c r="B52" s="12" t="s">
        <v>105</v>
      </c>
      <c r="C52" s="12" t="s">
        <v>43</v>
      </c>
      <c r="D52">
        <v>1968</v>
      </c>
      <c r="E52">
        <v>1971</v>
      </c>
      <c r="F52" s="12" t="s">
        <v>11</v>
      </c>
      <c r="G52" s="12" t="s">
        <v>222</v>
      </c>
      <c r="H52" s="12" t="s">
        <v>223</v>
      </c>
      <c r="I52" s="12" t="s">
        <v>222</v>
      </c>
      <c r="J52" s="12" t="s">
        <v>222</v>
      </c>
      <c r="K52" s="12" t="s">
        <v>222</v>
      </c>
      <c r="L52" s="12" t="s">
        <v>222</v>
      </c>
      <c r="M52" s="12" t="s">
        <v>222</v>
      </c>
      <c r="N52" s="12" t="s">
        <v>222</v>
      </c>
      <c r="O52" s="12" t="s">
        <v>44</v>
      </c>
      <c r="P52" s="12" t="s">
        <v>222</v>
      </c>
      <c r="Q52" s="12" t="s">
        <v>223</v>
      </c>
      <c r="R52" s="12" t="s">
        <v>222</v>
      </c>
      <c r="S52" s="12" t="s">
        <v>222</v>
      </c>
      <c r="T52" s="12" t="s">
        <v>222</v>
      </c>
      <c r="U52" s="12" t="s">
        <v>222</v>
      </c>
      <c r="V52">
        <v>1</v>
      </c>
      <c r="W52">
        <v>2</v>
      </c>
      <c r="X52">
        <v>1</v>
      </c>
    </row>
    <row r="53" spans="1:24" x14ac:dyDescent="0.25">
      <c r="A53" s="12" t="s">
        <v>41</v>
      </c>
      <c r="B53" s="12" t="s">
        <v>106</v>
      </c>
      <c r="C53" s="12" t="s">
        <v>43</v>
      </c>
      <c r="D53">
        <v>1968</v>
      </c>
      <c r="E53">
        <v>1971</v>
      </c>
      <c r="F53" s="12" t="s">
        <v>19</v>
      </c>
      <c r="G53" s="12" t="s">
        <v>223</v>
      </c>
      <c r="H53" s="12" t="s">
        <v>222</v>
      </c>
      <c r="I53" s="12" t="s">
        <v>222</v>
      </c>
      <c r="J53" s="12" t="s">
        <v>222</v>
      </c>
      <c r="K53" s="12" t="s">
        <v>222</v>
      </c>
      <c r="L53" s="12" t="s">
        <v>222</v>
      </c>
      <c r="M53" s="12" t="s">
        <v>222</v>
      </c>
      <c r="N53" s="12" t="s">
        <v>222</v>
      </c>
      <c r="O53" s="12" t="s">
        <v>107</v>
      </c>
      <c r="P53" s="12" t="s">
        <v>223</v>
      </c>
      <c r="Q53" s="12" t="s">
        <v>222</v>
      </c>
      <c r="R53" s="12" t="s">
        <v>222</v>
      </c>
      <c r="S53" s="12" t="s">
        <v>222</v>
      </c>
      <c r="T53" s="12" t="s">
        <v>222</v>
      </c>
      <c r="U53" s="12" t="s">
        <v>223</v>
      </c>
      <c r="V53">
        <v>1</v>
      </c>
      <c r="W53">
        <v>2</v>
      </c>
      <c r="X53">
        <v>1</v>
      </c>
    </row>
    <row r="54" spans="1:24" x14ac:dyDescent="0.25">
      <c r="A54" s="12" t="s">
        <v>41</v>
      </c>
      <c r="B54" s="12" t="s">
        <v>108</v>
      </c>
      <c r="C54" s="12" t="s">
        <v>43</v>
      </c>
      <c r="D54">
        <v>1968</v>
      </c>
      <c r="E54">
        <v>1971</v>
      </c>
      <c r="F54" s="12" t="s">
        <v>19</v>
      </c>
      <c r="G54" s="12" t="s">
        <v>223</v>
      </c>
      <c r="H54" s="12" t="s">
        <v>222</v>
      </c>
      <c r="I54" s="12" t="s">
        <v>222</v>
      </c>
      <c r="J54" s="12" t="s">
        <v>222</v>
      </c>
      <c r="K54" s="12" t="s">
        <v>222</v>
      </c>
      <c r="L54" s="12" t="s">
        <v>222</v>
      </c>
      <c r="M54" s="12" t="s">
        <v>222</v>
      </c>
      <c r="N54" s="12" t="s">
        <v>222</v>
      </c>
      <c r="O54" s="12" t="s">
        <v>88</v>
      </c>
      <c r="P54" s="12" t="s">
        <v>223</v>
      </c>
      <c r="Q54" s="12" t="s">
        <v>223</v>
      </c>
      <c r="R54" s="12" t="s">
        <v>222</v>
      </c>
      <c r="S54" s="12" t="s">
        <v>222</v>
      </c>
      <c r="T54" s="12" t="s">
        <v>222</v>
      </c>
      <c r="U54" s="12" t="s">
        <v>222</v>
      </c>
      <c r="V54">
        <v>1</v>
      </c>
      <c r="W54">
        <v>2</v>
      </c>
      <c r="X54">
        <v>1</v>
      </c>
    </row>
    <row r="55" spans="1:24" x14ac:dyDescent="0.25">
      <c r="A55" s="12" t="s">
        <v>41</v>
      </c>
      <c r="B55" s="12" t="s">
        <v>109</v>
      </c>
      <c r="C55" s="12" t="s">
        <v>43</v>
      </c>
      <c r="D55">
        <v>1968</v>
      </c>
      <c r="E55">
        <v>1971</v>
      </c>
      <c r="F55" s="12" t="s">
        <v>19</v>
      </c>
      <c r="G55" s="12" t="s">
        <v>223</v>
      </c>
      <c r="H55" s="12" t="s">
        <v>222</v>
      </c>
      <c r="I55" s="12" t="s">
        <v>222</v>
      </c>
      <c r="J55" s="12" t="s">
        <v>222</v>
      </c>
      <c r="K55" s="12" t="s">
        <v>222</v>
      </c>
      <c r="L55" s="12" t="s">
        <v>222</v>
      </c>
      <c r="M55" s="12" t="s">
        <v>222</v>
      </c>
      <c r="N55" s="12" t="s">
        <v>222</v>
      </c>
      <c r="O55" s="12" t="s">
        <v>44</v>
      </c>
      <c r="P55" s="12" t="s">
        <v>222</v>
      </c>
      <c r="Q55" s="12" t="s">
        <v>223</v>
      </c>
      <c r="R55" s="12" t="s">
        <v>222</v>
      </c>
      <c r="S55" s="12" t="s">
        <v>222</v>
      </c>
      <c r="T55" s="12" t="s">
        <v>222</v>
      </c>
      <c r="U55" s="12" t="s">
        <v>222</v>
      </c>
      <c r="V55">
        <v>1</v>
      </c>
      <c r="W55">
        <v>2</v>
      </c>
      <c r="X55">
        <v>1</v>
      </c>
    </row>
    <row r="56" spans="1:24" x14ac:dyDescent="0.25">
      <c r="A56" s="12" t="s">
        <v>41</v>
      </c>
      <c r="B56" s="12" t="s">
        <v>110</v>
      </c>
      <c r="C56" s="12" t="s">
        <v>111</v>
      </c>
      <c r="D56">
        <v>1963</v>
      </c>
      <c r="E56">
        <v>1966</v>
      </c>
      <c r="F56" s="12" t="s">
        <v>32</v>
      </c>
      <c r="G56" s="12" t="s">
        <v>222</v>
      </c>
      <c r="H56" s="12" t="s">
        <v>222</v>
      </c>
      <c r="I56" s="12" t="s">
        <v>223</v>
      </c>
      <c r="J56" s="12" t="s">
        <v>222</v>
      </c>
      <c r="K56" s="12" t="s">
        <v>222</v>
      </c>
      <c r="L56" s="12" t="s">
        <v>222</v>
      </c>
      <c r="M56" s="12" t="s">
        <v>222</v>
      </c>
      <c r="N56" s="12" t="s">
        <v>222</v>
      </c>
      <c r="O56" s="12" t="s">
        <v>35</v>
      </c>
      <c r="P56" s="12" t="s">
        <v>223</v>
      </c>
      <c r="Q56" s="12" t="s">
        <v>222</v>
      </c>
      <c r="R56" s="12" t="s">
        <v>222</v>
      </c>
      <c r="S56" s="12" t="s">
        <v>222</v>
      </c>
      <c r="T56" s="12" t="s">
        <v>222</v>
      </c>
      <c r="U56" s="12" t="s">
        <v>222</v>
      </c>
      <c r="V56">
        <v>1</v>
      </c>
      <c r="W56">
        <v>3</v>
      </c>
      <c r="X56">
        <v>2</v>
      </c>
    </row>
    <row r="57" spans="1:24" x14ac:dyDescent="0.25">
      <c r="A57" s="12" t="s">
        <v>41</v>
      </c>
      <c r="B57" s="12" t="s">
        <v>112</v>
      </c>
      <c r="C57" s="12" t="s">
        <v>111</v>
      </c>
      <c r="D57">
        <v>1963</v>
      </c>
      <c r="E57">
        <v>1966</v>
      </c>
      <c r="F57" s="12" t="s">
        <v>113</v>
      </c>
      <c r="G57" s="12" t="s">
        <v>222</v>
      </c>
      <c r="H57" s="12" t="s">
        <v>223</v>
      </c>
      <c r="I57" s="12" t="s">
        <v>223</v>
      </c>
      <c r="J57" s="12" t="s">
        <v>222</v>
      </c>
      <c r="K57" s="12" t="s">
        <v>222</v>
      </c>
      <c r="L57" s="12" t="s">
        <v>222</v>
      </c>
      <c r="M57" s="12" t="s">
        <v>222</v>
      </c>
      <c r="N57" s="12" t="s">
        <v>222</v>
      </c>
      <c r="O57" s="12" t="s">
        <v>35</v>
      </c>
      <c r="P57" s="12" t="s">
        <v>223</v>
      </c>
      <c r="Q57" s="12" t="s">
        <v>222</v>
      </c>
      <c r="R57" s="12" t="s">
        <v>222</v>
      </c>
      <c r="S57" s="12" t="s">
        <v>222</v>
      </c>
      <c r="T57" s="12" t="s">
        <v>222</v>
      </c>
      <c r="U57" s="12" t="s">
        <v>222</v>
      </c>
      <c r="V57">
        <v>2</v>
      </c>
      <c r="W57">
        <v>3</v>
      </c>
      <c r="X57">
        <v>1</v>
      </c>
    </row>
    <row r="58" spans="1:24" x14ac:dyDescent="0.25">
      <c r="A58" s="12" t="s">
        <v>41</v>
      </c>
      <c r="B58" s="12" t="s">
        <v>114</v>
      </c>
      <c r="C58" s="12" t="s">
        <v>111</v>
      </c>
      <c r="D58">
        <v>1963</v>
      </c>
      <c r="E58">
        <v>1966</v>
      </c>
      <c r="F58" s="12" t="s">
        <v>11</v>
      </c>
      <c r="G58" s="12" t="s">
        <v>222</v>
      </c>
      <c r="H58" s="12" t="s">
        <v>223</v>
      </c>
      <c r="I58" s="12" t="s">
        <v>222</v>
      </c>
      <c r="J58" s="12" t="s">
        <v>222</v>
      </c>
      <c r="K58" s="12" t="s">
        <v>222</v>
      </c>
      <c r="L58" s="12" t="s">
        <v>222</v>
      </c>
      <c r="M58" s="12" t="s">
        <v>222</v>
      </c>
      <c r="N58" s="12" t="s">
        <v>222</v>
      </c>
      <c r="O58" s="12" t="s">
        <v>58</v>
      </c>
      <c r="P58" s="12" t="s">
        <v>222</v>
      </c>
      <c r="Q58" s="12" t="s">
        <v>223</v>
      </c>
      <c r="R58" s="12" t="s">
        <v>222</v>
      </c>
      <c r="S58" s="12" t="s">
        <v>222</v>
      </c>
      <c r="T58" s="12" t="s">
        <v>223</v>
      </c>
      <c r="U58" s="12" t="s">
        <v>222</v>
      </c>
      <c r="V58">
        <v>2</v>
      </c>
      <c r="W58">
        <v>3</v>
      </c>
      <c r="X58">
        <v>1</v>
      </c>
    </row>
    <row r="59" spans="1:24" x14ac:dyDescent="0.25">
      <c r="A59" s="12" t="s">
        <v>41</v>
      </c>
      <c r="B59" s="12" t="s">
        <v>115</v>
      </c>
      <c r="C59" s="12" t="s">
        <v>111</v>
      </c>
      <c r="D59">
        <v>1963</v>
      </c>
      <c r="E59">
        <v>1966</v>
      </c>
      <c r="F59" s="12" t="s">
        <v>116</v>
      </c>
      <c r="G59" s="12" t="s">
        <v>222</v>
      </c>
      <c r="H59" s="12" t="s">
        <v>223</v>
      </c>
      <c r="I59" s="12" t="s">
        <v>223</v>
      </c>
      <c r="J59" s="12" t="s">
        <v>222</v>
      </c>
      <c r="K59" s="12" t="s">
        <v>222</v>
      </c>
      <c r="L59" s="12" t="s">
        <v>222</v>
      </c>
      <c r="M59" s="12" t="s">
        <v>222</v>
      </c>
      <c r="N59" s="12" t="s">
        <v>222</v>
      </c>
      <c r="O59" s="12" t="s">
        <v>44</v>
      </c>
      <c r="P59" s="12" t="s">
        <v>222</v>
      </c>
      <c r="Q59" s="12" t="s">
        <v>223</v>
      </c>
      <c r="R59" s="12" t="s">
        <v>222</v>
      </c>
      <c r="S59" s="12" t="s">
        <v>222</v>
      </c>
      <c r="T59" s="12" t="s">
        <v>222</v>
      </c>
      <c r="U59" s="12" t="s">
        <v>222</v>
      </c>
      <c r="V59">
        <v>1</v>
      </c>
      <c r="W59">
        <v>4</v>
      </c>
      <c r="X59">
        <v>3</v>
      </c>
    </row>
    <row r="60" spans="1:24" x14ac:dyDescent="0.25">
      <c r="A60" s="12" t="s">
        <v>41</v>
      </c>
      <c r="B60" s="12" t="s">
        <v>117</v>
      </c>
      <c r="C60" s="12" t="s">
        <v>111</v>
      </c>
      <c r="D60">
        <v>1963</v>
      </c>
      <c r="E60">
        <v>1966</v>
      </c>
      <c r="F60" s="12" t="s">
        <v>32</v>
      </c>
      <c r="G60" s="12" t="s">
        <v>222</v>
      </c>
      <c r="H60" s="12" t="s">
        <v>222</v>
      </c>
      <c r="I60" s="12" t="s">
        <v>223</v>
      </c>
      <c r="J60" s="12" t="s">
        <v>222</v>
      </c>
      <c r="K60" s="12" t="s">
        <v>222</v>
      </c>
      <c r="L60" s="12" t="s">
        <v>222</v>
      </c>
      <c r="M60" s="12" t="s">
        <v>222</v>
      </c>
      <c r="N60" s="12" t="s">
        <v>222</v>
      </c>
      <c r="O60" s="12" t="s">
        <v>35</v>
      </c>
      <c r="P60" s="12" t="s">
        <v>223</v>
      </c>
      <c r="Q60" s="12" t="s">
        <v>222</v>
      </c>
      <c r="R60" s="12" t="s">
        <v>222</v>
      </c>
      <c r="S60" s="12" t="s">
        <v>222</v>
      </c>
      <c r="T60" s="12" t="s">
        <v>222</v>
      </c>
      <c r="U60" s="12" t="s">
        <v>222</v>
      </c>
      <c r="V60">
        <v>1</v>
      </c>
      <c r="W60">
        <v>4</v>
      </c>
      <c r="X60">
        <v>3</v>
      </c>
    </row>
    <row r="61" spans="1:24" x14ac:dyDescent="0.25">
      <c r="A61" s="12" t="s">
        <v>41</v>
      </c>
      <c r="B61" s="12" t="s">
        <v>118</v>
      </c>
      <c r="C61" s="12" t="s">
        <v>111</v>
      </c>
      <c r="D61">
        <v>1963</v>
      </c>
      <c r="E61">
        <v>1966</v>
      </c>
      <c r="F61" s="12" t="s">
        <v>32</v>
      </c>
      <c r="G61" s="12" t="s">
        <v>222</v>
      </c>
      <c r="H61" s="12" t="s">
        <v>222</v>
      </c>
      <c r="I61" s="12" t="s">
        <v>223</v>
      </c>
      <c r="J61" s="12" t="s">
        <v>222</v>
      </c>
      <c r="K61" s="12" t="s">
        <v>222</v>
      </c>
      <c r="L61" s="12" t="s">
        <v>222</v>
      </c>
      <c r="M61" s="12" t="s">
        <v>222</v>
      </c>
      <c r="N61" s="12" t="s">
        <v>222</v>
      </c>
      <c r="O61" s="12" t="s">
        <v>35</v>
      </c>
      <c r="P61" s="12" t="s">
        <v>223</v>
      </c>
      <c r="Q61" s="12" t="s">
        <v>222</v>
      </c>
      <c r="R61" s="12" t="s">
        <v>222</v>
      </c>
      <c r="S61" s="12" t="s">
        <v>222</v>
      </c>
      <c r="T61" s="12" t="s">
        <v>222</v>
      </c>
      <c r="U61" s="12" t="s">
        <v>222</v>
      </c>
      <c r="V61">
        <v>1</v>
      </c>
      <c r="W61">
        <v>3</v>
      </c>
      <c r="X61">
        <v>2</v>
      </c>
    </row>
    <row r="62" spans="1:24" x14ac:dyDescent="0.25">
      <c r="A62" s="12" t="s">
        <v>41</v>
      </c>
      <c r="B62" s="12" t="s">
        <v>119</v>
      </c>
      <c r="C62" s="12" t="s">
        <v>111</v>
      </c>
      <c r="D62">
        <v>1963</v>
      </c>
      <c r="E62">
        <v>1966</v>
      </c>
      <c r="F62" s="12" t="s">
        <v>32</v>
      </c>
      <c r="G62" s="12" t="s">
        <v>222</v>
      </c>
      <c r="H62" s="12" t="s">
        <v>222</v>
      </c>
      <c r="I62" s="12" t="s">
        <v>223</v>
      </c>
      <c r="J62" s="12" t="s">
        <v>222</v>
      </c>
      <c r="K62" s="12" t="s">
        <v>222</v>
      </c>
      <c r="L62" s="12" t="s">
        <v>222</v>
      </c>
      <c r="M62" s="12" t="s">
        <v>222</v>
      </c>
      <c r="N62" s="12" t="s">
        <v>222</v>
      </c>
      <c r="O62" s="12" t="s">
        <v>35</v>
      </c>
      <c r="P62" s="12" t="s">
        <v>223</v>
      </c>
      <c r="Q62" s="12" t="s">
        <v>222</v>
      </c>
      <c r="R62" s="12" t="s">
        <v>222</v>
      </c>
      <c r="S62" s="12" t="s">
        <v>222</v>
      </c>
      <c r="T62" s="12" t="s">
        <v>222</v>
      </c>
      <c r="U62" s="12" t="s">
        <v>222</v>
      </c>
      <c r="V62">
        <v>1</v>
      </c>
      <c r="W62">
        <v>5</v>
      </c>
      <c r="X62">
        <v>4</v>
      </c>
    </row>
    <row r="63" spans="1:24" x14ac:dyDescent="0.25">
      <c r="A63" s="12" t="s">
        <v>41</v>
      </c>
      <c r="B63" s="12" t="s">
        <v>120</v>
      </c>
      <c r="C63" s="12" t="s">
        <v>111</v>
      </c>
      <c r="D63">
        <v>1963</v>
      </c>
      <c r="E63">
        <v>1966</v>
      </c>
      <c r="F63" s="12" t="s">
        <v>113</v>
      </c>
      <c r="G63" s="12" t="s">
        <v>222</v>
      </c>
      <c r="H63" s="12" t="s">
        <v>223</v>
      </c>
      <c r="I63" s="12" t="s">
        <v>223</v>
      </c>
      <c r="J63" s="12" t="s">
        <v>222</v>
      </c>
      <c r="K63" s="12" t="s">
        <v>222</v>
      </c>
      <c r="L63" s="12" t="s">
        <v>222</v>
      </c>
      <c r="M63" s="12" t="s">
        <v>222</v>
      </c>
      <c r="N63" s="12" t="s">
        <v>222</v>
      </c>
      <c r="O63" s="12" t="s">
        <v>23</v>
      </c>
      <c r="P63" s="12" t="s">
        <v>223</v>
      </c>
      <c r="Q63" s="12" t="s">
        <v>222</v>
      </c>
      <c r="R63" s="12" t="s">
        <v>222</v>
      </c>
      <c r="S63" s="12" t="s">
        <v>222</v>
      </c>
      <c r="T63" s="12" t="s">
        <v>223</v>
      </c>
      <c r="U63" s="12" t="s">
        <v>222</v>
      </c>
      <c r="V63">
        <v>2</v>
      </c>
      <c r="W63">
        <v>4</v>
      </c>
      <c r="X63">
        <v>2</v>
      </c>
    </row>
    <row r="64" spans="1:24" x14ac:dyDescent="0.25">
      <c r="A64" s="12" t="s">
        <v>41</v>
      </c>
      <c r="B64" s="12" t="s">
        <v>121</v>
      </c>
      <c r="C64" s="12" t="s">
        <v>111</v>
      </c>
      <c r="D64">
        <v>1963</v>
      </c>
      <c r="E64">
        <v>1966</v>
      </c>
      <c r="F64" s="12" t="s">
        <v>113</v>
      </c>
      <c r="G64" s="12" t="s">
        <v>222</v>
      </c>
      <c r="H64" s="12" t="s">
        <v>223</v>
      </c>
      <c r="I64" s="12" t="s">
        <v>223</v>
      </c>
      <c r="J64" s="12" t="s">
        <v>222</v>
      </c>
      <c r="K64" s="12" t="s">
        <v>222</v>
      </c>
      <c r="L64" s="12" t="s">
        <v>222</v>
      </c>
      <c r="M64" s="12" t="s">
        <v>222</v>
      </c>
      <c r="N64" s="12" t="s">
        <v>222</v>
      </c>
      <c r="O64" s="12" t="s">
        <v>88</v>
      </c>
      <c r="P64" s="12" t="s">
        <v>223</v>
      </c>
      <c r="Q64" s="12" t="s">
        <v>223</v>
      </c>
      <c r="R64" s="12" t="s">
        <v>222</v>
      </c>
      <c r="S64" s="12" t="s">
        <v>222</v>
      </c>
      <c r="T64" s="12" t="s">
        <v>222</v>
      </c>
      <c r="U64" s="12" t="s">
        <v>222</v>
      </c>
      <c r="V64">
        <v>1</v>
      </c>
      <c r="W64">
        <v>5</v>
      </c>
      <c r="X64">
        <v>4</v>
      </c>
    </row>
    <row r="65" spans="1:24" x14ac:dyDescent="0.25">
      <c r="A65" s="12" t="s">
        <v>41</v>
      </c>
      <c r="B65" s="12" t="s">
        <v>122</v>
      </c>
      <c r="C65" s="12" t="s">
        <v>111</v>
      </c>
      <c r="D65">
        <v>1963</v>
      </c>
      <c r="E65">
        <v>1966</v>
      </c>
      <c r="F65" s="12" t="s">
        <v>113</v>
      </c>
      <c r="G65" s="12" t="s">
        <v>222</v>
      </c>
      <c r="H65" s="12" t="s">
        <v>223</v>
      </c>
      <c r="I65" s="12" t="s">
        <v>223</v>
      </c>
      <c r="J65" s="12" t="s">
        <v>222</v>
      </c>
      <c r="K65" s="12" t="s">
        <v>222</v>
      </c>
      <c r="L65" s="12" t="s">
        <v>222</v>
      </c>
      <c r="M65" s="12" t="s">
        <v>222</v>
      </c>
      <c r="N65" s="12" t="s">
        <v>222</v>
      </c>
      <c r="O65" s="12" t="s">
        <v>88</v>
      </c>
      <c r="P65" s="12" t="s">
        <v>223</v>
      </c>
      <c r="Q65" s="12" t="s">
        <v>223</v>
      </c>
      <c r="R65" s="12" t="s">
        <v>222</v>
      </c>
      <c r="S65" s="12" t="s">
        <v>222</v>
      </c>
      <c r="T65" s="12" t="s">
        <v>222</v>
      </c>
      <c r="U65" s="12" t="s">
        <v>222</v>
      </c>
      <c r="V65">
        <v>1</v>
      </c>
      <c r="W65">
        <v>5</v>
      </c>
      <c r="X65">
        <v>4</v>
      </c>
    </row>
    <row r="66" spans="1:24" x14ac:dyDescent="0.25">
      <c r="A66" s="12" t="s">
        <v>41</v>
      </c>
      <c r="B66" s="12" t="s">
        <v>123</v>
      </c>
      <c r="C66" s="12" t="s">
        <v>111</v>
      </c>
      <c r="D66">
        <v>1963</v>
      </c>
      <c r="E66">
        <v>1966</v>
      </c>
      <c r="F66" s="12" t="s">
        <v>11</v>
      </c>
      <c r="G66" s="12" t="s">
        <v>222</v>
      </c>
      <c r="H66" s="12" t="s">
        <v>223</v>
      </c>
      <c r="I66" s="12" t="s">
        <v>222</v>
      </c>
      <c r="J66" s="12" t="s">
        <v>222</v>
      </c>
      <c r="K66" s="12" t="s">
        <v>222</v>
      </c>
      <c r="L66" s="12" t="s">
        <v>222</v>
      </c>
      <c r="M66" s="12" t="s">
        <v>222</v>
      </c>
      <c r="N66" s="12" t="s">
        <v>222</v>
      </c>
      <c r="O66" s="12" t="s">
        <v>93</v>
      </c>
      <c r="P66" s="12" t="s">
        <v>222</v>
      </c>
      <c r="Q66" s="12" t="s">
        <v>222</v>
      </c>
      <c r="R66" s="12" t="s">
        <v>222</v>
      </c>
      <c r="S66" s="12" t="s">
        <v>222</v>
      </c>
      <c r="T66" s="12" t="s">
        <v>223</v>
      </c>
      <c r="U66" s="12" t="s">
        <v>222</v>
      </c>
      <c r="V66">
        <v>2</v>
      </c>
      <c r="W66">
        <v>4</v>
      </c>
      <c r="X66">
        <v>2</v>
      </c>
    </row>
    <row r="67" spans="1:24" x14ac:dyDescent="0.25">
      <c r="A67" s="12" t="s">
        <v>41</v>
      </c>
      <c r="B67" s="12" t="s">
        <v>124</v>
      </c>
      <c r="C67" s="12" t="s">
        <v>111</v>
      </c>
      <c r="D67">
        <v>1963</v>
      </c>
      <c r="E67">
        <v>1966</v>
      </c>
      <c r="F67" s="12" t="s">
        <v>62</v>
      </c>
      <c r="G67" s="12" t="s">
        <v>223</v>
      </c>
      <c r="H67" s="12" t="s">
        <v>223</v>
      </c>
      <c r="I67" s="12" t="s">
        <v>222</v>
      </c>
      <c r="J67" s="12" t="s">
        <v>222</v>
      </c>
      <c r="K67" s="12" t="s">
        <v>222</v>
      </c>
      <c r="L67" s="12" t="s">
        <v>222</v>
      </c>
      <c r="M67" s="12" t="s">
        <v>222</v>
      </c>
      <c r="N67" s="12" t="s">
        <v>222</v>
      </c>
      <c r="O67" s="12" t="s">
        <v>40</v>
      </c>
      <c r="P67" s="12" t="s">
        <v>222</v>
      </c>
      <c r="Q67" s="12" t="s">
        <v>222</v>
      </c>
      <c r="R67" s="12" t="s">
        <v>223</v>
      </c>
      <c r="S67" s="12" t="s">
        <v>222</v>
      </c>
      <c r="T67" s="12" t="s">
        <v>222</v>
      </c>
      <c r="U67" s="12" t="s">
        <v>222</v>
      </c>
      <c r="V67">
        <v>2</v>
      </c>
      <c r="W67">
        <v>3</v>
      </c>
      <c r="X67">
        <v>1</v>
      </c>
    </row>
    <row r="68" spans="1:24" x14ac:dyDescent="0.25">
      <c r="A68" s="12" t="s">
        <v>41</v>
      </c>
      <c r="B68" s="12" t="s">
        <v>125</v>
      </c>
      <c r="C68" s="12" t="s">
        <v>111</v>
      </c>
      <c r="D68">
        <v>1963</v>
      </c>
      <c r="E68">
        <v>1966</v>
      </c>
      <c r="F68" s="12" t="s">
        <v>126</v>
      </c>
      <c r="G68" s="12" t="s">
        <v>223</v>
      </c>
      <c r="H68" s="12" t="s">
        <v>223</v>
      </c>
      <c r="I68" s="12" t="s">
        <v>222</v>
      </c>
      <c r="J68" s="12" t="s">
        <v>223</v>
      </c>
      <c r="K68" s="12" t="s">
        <v>223</v>
      </c>
      <c r="L68" s="12" t="s">
        <v>222</v>
      </c>
      <c r="M68" s="12" t="s">
        <v>223</v>
      </c>
      <c r="N68" s="12" t="s">
        <v>222</v>
      </c>
      <c r="O68" s="12" t="s">
        <v>93</v>
      </c>
      <c r="P68" s="12" t="s">
        <v>222</v>
      </c>
      <c r="Q68" s="12" t="s">
        <v>222</v>
      </c>
      <c r="R68" s="12" t="s">
        <v>222</v>
      </c>
      <c r="S68" s="12" t="s">
        <v>222</v>
      </c>
      <c r="T68" s="12" t="s">
        <v>223</v>
      </c>
      <c r="U68" s="12" t="s">
        <v>222</v>
      </c>
      <c r="V68">
        <v>2</v>
      </c>
      <c r="W68">
        <v>3</v>
      </c>
      <c r="X68">
        <v>1</v>
      </c>
    </row>
    <row r="69" spans="1:24" x14ac:dyDescent="0.25">
      <c r="A69" s="12" t="s">
        <v>41</v>
      </c>
      <c r="B69" s="12" t="s">
        <v>127</v>
      </c>
      <c r="C69" s="12" t="s">
        <v>111</v>
      </c>
      <c r="D69">
        <v>1963</v>
      </c>
      <c r="E69">
        <v>1966</v>
      </c>
      <c r="F69" s="12" t="s">
        <v>11</v>
      </c>
      <c r="G69" s="12" t="s">
        <v>222</v>
      </c>
      <c r="H69" s="12" t="s">
        <v>223</v>
      </c>
      <c r="I69" s="12" t="s">
        <v>222</v>
      </c>
      <c r="J69" s="12" t="s">
        <v>222</v>
      </c>
      <c r="K69" s="12" t="s">
        <v>222</v>
      </c>
      <c r="L69" s="12" t="s">
        <v>222</v>
      </c>
      <c r="M69" s="12" t="s">
        <v>222</v>
      </c>
      <c r="N69" s="12" t="s">
        <v>222</v>
      </c>
      <c r="O69" s="12" t="s">
        <v>40</v>
      </c>
      <c r="P69" s="12" t="s">
        <v>222</v>
      </c>
      <c r="Q69" s="12" t="s">
        <v>222</v>
      </c>
      <c r="R69" s="12" t="s">
        <v>223</v>
      </c>
      <c r="S69" s="12" t="s">
        <v>222</v>
      </c>
      <c r="T69" s="12" t="s">
        <v>222</v>
      </c>
      <c r="U69" s="12" t="s">
        <v>222</v>
      </c>
      <c r="V69">
        <v>2</v>
      </c>
      <c r="W69">
        <v>3</v>
      </c>
      <c r="X69">
        <v>1</v>
      </c>
    </row>
    <row r="70" spans="1:24" x14ac:dyDescent="0.25">
      <c r="A70" s="12" t="s">
        <v>41</v>
      </c>
      <c r="B70" s="12" t="s">
        <v>128</v>
      </c>
      <c r="C70" s="12" t="s">
        <v>111</v>
      </c>
      <c r="D70">
        <v>1963</v>
      </c>
      <c r="E70">
        <v>1966</v>
      </c>
      <c r="F70" s="12" t="s">
        <v>19</v>
      </c>
      <c r="G70" s="12" t="s">
        <v>223</v>
      </c>
      <c r="H70" s="12" t="s">
        <v>222</v>
      </c>
      <c r="I70" s="12" t="s">
        <v>222</v>
      </c>
      <c r="J70" s="12" t="s">
        <v>222</v>
      </c>
      <c r="K70" s="12" t="s">
        <v>222</v>
      </c>
      <c r="L70" s="12" t="s">
        <v>222</v>
      </c>
      <c r="M70" s="12" t="s">
        <v>222</v>
      </c>
      <c r="N70" s="12" t="s">
        <v>222</v>
      </c>
      <c r="O70" s="12" t="s">
        <v>129</v>
      </c>
      <c r="P70" s="12" t="s">
        <v>223</v>
      </c>
      <c r="Q70" s="12" t="s">
        <v>222</v>
      </c>
      <c r="R70" s="12" t="s">
        <v>222</v>
      </c>
      <c r="S70" s="12" t="s">
        <v>222</v>
      </c>
      <c r="T70" s="12" t="s">
        <v>223</v>
      </c>
      <c r="U70" s="12" t="s">
        <v>222</v>
      </c>
      <c r="V70">
        <v>2</v>
      </c>
      <c r="W70">
        <v>3</v>
      </c>
      <c r="X70">
        <v>1</v>
      </c>
    </row>
    <row r="71" spans="1:24" x14ac:dyDescent="0.25">
      <c r="A71" s="12" t="s">
        <v>41</v>
      </c>
      <c r="B71" s="12" t="s">
        <v>130</v>
      </c>
      <c r="C71" s="12" t="s">
        <v>111</v>
      </c>
      <c r="D71">
        <v>1963</v>
      </c>
      <c r="E71">
        <v>1966</v>
      </c>
      <c r="F71" s="12" t="s">
        <v>131</v>
      </c>
      <c r="G71" s="12" t="s">
        <v>223</v>
      </c>
      <c r="H71" s="12" t="s">
        <v>223</v>
      </c>
      <c r="I71" s="12" t="s">
        <v>223</v>
      </c>
      <c r="J71" s="12" t="s">
        <v>223</v>
      </c>
      <c r="K71" s="12" t="s">
        <v>222</v>
      </c>
      <c r="L71" s="12" t="s">
        <v>222</v>
      </c>
      <c r="M71" s="12" t="s">
        <v>223</v>
      </c>
      <c r="N71" s="12" t="s">
        <v>222</v>
      </c>
      <c r="O71" s="12" t="s">
        <v>58</v>
      </c>
      <c r="P71" s="12" t="s">
        <v>222</v>
      </c>
      <c r="Q71" s="12" t="s">
        <v>223</v>
      </c>
      <c r="R71" s="12" t="s">
        <v>222</v>
      </c>
      <c r="S71" s="12" t="s">
        <v>222</v>
      </c>
      <c r="T71" s="12" t="s">
        <v>223</v>
      </c>
      <c r="U71" s="12" t="s">
        <v>222</v>
      </c>
      <c r="V71">
        <v>2</v>
      </c>
      <c r="W71">
        <v>3</v>
      </c>
      <c r="X71">
        <v>1</v>
      </c>
    </row>
    <row r="72" spans="1:24" x14ac:dyDescent="0.25">
      <c r="A72" s="12" t="s">
        <v>41</v>
      </c>
      <c r="B72" s="12" t="s">
        <v>132</v>
      </c>
      <c r="C72" s="12" t="s">
        <v>111</v>
      </c>
      <c r="D72">
        <v>1963</v>
      </c>
      <c r="E72">
        <v>1966</v>
      </c>
      <c r="F72" s="12" t="s">
        <v>49</v>
      </c>
      <c r="G72" s="12" t="s">
        <v>223</v>
      </c>
      <c r="H72" s="12" t="s">
        <v>222</v>
      </c>
      <c r="I72" s="12" t="s">
        <v>222</v>
      </c>
      <c r="J72" s="12" t="s">
        <v>223</v>
      </c>
      <c r="K72" s="12" t="s">
        <v>222</v>
      </c>
      <c r="L72" s="12" t="s">
        <v>222</v>
      </c>
      <c r="M72" s="12" t="s">
        <v>222</v>
      </c>
      <c r="N72" s="12" t="s">
        <v>222</v>
      </c>
      <c r="O72" s="12" t="s">
        <v>104</v>
      </c>
      <c r="P72" s="12" t="s">
        <v>222</v>
      </c>
      <c r="Q72" s="12" t="s">
        <v>222</v>
      </c>
      <c r="R72" s="12" t="s">
        <v>222</v>
      </c>
      <c r="S72" s="12" t="s">
        <v>222</v>
      </c>
      <c r="T72" s="12" t="s">
        <v>223</v>
      </c>
      <c r="U72" s="12" t="s">
        <v>223</v>
      </c>
      <c r="V72">
        <v>2</v>
      </c>
      <c r="W72">
        <v>3</v>
      </c>
      <c r="X72">
        <v>1</v>
      </c>
    </row>
    <row r="73" spans="1:24" x14ac:dyDescent="0.25">
      <c r="A73" s="12" t="s">
        <v>41</v>
      </c>
      <c r="B73" s="12" t="s">
        <v>133</v>
      </c>
      <c r="C73" s="12" t="s">
        <v>111</v>
      </c>
      <c r="D73">
        <v>1963</v>
      </c>
      <c r="E73">
        <v>1966</v>
      </c>
      <c r="F73" s="12" t="s">
        <v>11</v>
      </c>
      <c r="G73" s="12" t="s">
        <v>222</v>
      </c>
      <c r="H73" s="12" t="s">
        <v>223</v>
      </c>
      <c r="I73" s="12" t="s">
        <v>222</v>
      </c>
      <c r="J73" s="12" t="s">
        <v>222</v>
      </c>
      <c r="K73" s="12" t="s">
        <v>222</v>
      </c>
      <c r="L73" s="12" t="s">
        <v>222</v>
      </c>
      <c r="M73" s="12" t="s">
        <v>222</v>
      </c>
      <c r="N73" s="12" t="s">
        <v>222</v>
      </c>
      <c r="O73" s="12" t="s">
        <v>71</v>
      </c>
      <c r="P73" s="12" t="s">
        <v>222</v>
      </c>
      <c r="Q73" s="12" t="s">
        <v>222</v>
      </c>
      <c r="R73" s="12" t="s">
        <v>223</v>
      </c>
      <c r="S73" s="12" t="s">
        <v>222</v>
      </c>
      <c r="T73" s="12" t="s">
        <v>223</v>
      </c>
      <c r="U73" s="12" t="s">
        <v>222</v>
      </c>
      <c r="V73">
        <v>2</v>
      </c>
      <c r="W73">
        <v>3</v>
      </c>
      <c r="X73">
        <v>1</v>
      </c>
    </row>
    <row r="74" spans="1:24" x14ac:dyDescent="0.25">
      <c r="A74" s="12" t="s">
        <v>41</v>
      </c>
      <c r="B74" s="12" t="s">
        <v>134</v>
      </c>
      <c r="C74" s="12" t="s">
        <v>111</v>
      </c>
      <c r="D74">
        <v>1963</v>
      </c>
      <c r="E74">
        <v>1966</v>
      </c>
      <c r="F74" s="12" t="s">
        <v>116</v>
      </c>
      <c r="G74" s="12" t="s">
        <v>222</v>
      </c>
      <c r="H74" s="12" t="s">
        <v>223</v>
      </c>
      <c r="I74" s="12" t="s">
        <v>223</v>
      </c>
      <c r="J74" s="12" t="s">
        <v>222</v>
      </c>
      <c r="K74" s="12" t="s">
        <v>222</v>
      </c>
      <c r="L74" s="12" t="s">
        <v>222</v>
      </c>
      <c r="M74" s="12" t="s">
        <v>222</v>
      </c>
      <c r="N74" s="12" t="s">
        <v>222</v>
      </c>
      <c r="O74" s="12" t="s">
        <v>35</v>
      </c>
      <c r="P74" s="12" t="s">
        <v>223</v>
      </c>
      <c r="Q74" s="12" t="s">
        <v>222</v>
      </c>
      <c r="R74" s="12" t="s">
        <v>222</v>
      </c>
      <c r="S74" s="12" t="s">
        <v>222</v>
      </c>
      <c r="T74" s="12" t="s">
        <v>222</v>
      </c>
      <c r="U74" s="12" t="s">
        <v>222</v>
      </c>
      <c r="V74">
        <v>1</v>
      </c>
      <c r="W74">
        <v>5</v>
      </c>
      <c r="X74">
        <v>4</v>
      </c>
    </row>
    <row r="75" spans="1:24" x14ac:dyDescent="0.25">
      <c r="A75" s="12" t="s">
        <v>41</v>
      </c>
      <c r="B75" s="12" t="s">
        <v>135</v>
      </c>
      <c r="C75" s="12" t="s">
        <v>111</v>
      </c>
      <c r="D75">
        <v>1963</v>
      </c>
      <c r="E75">
        <v>1966</v>
      </c>
      <c r="F75" s="12" t="s">
        <v>136</v>
      </c>
      <c r="G75" s="12" t="s">
        <v>223</v>
      </c>
      <c r="H75" s="12" t="s">
        <v>223</v>
      </c>
      <c r="I75" s="12" t="s">
        <v>222</v>
      </c>
      <c r="J75" s="12" t="s">
        <v>223</v>
      </c>
      <c r="K75" s="12" t="s">
        <v>222</v>
      </c>
      <c r="L75" s="12" t="s">
        <v>222</v>
      </c>
      <c r="M75" s="12" t="s">
        <v>222</v>
      </c>
      <c r="N75" s="12" t="s">
        <v>222</v>
      </c>
      <c r="O75" s="12" t="s">
        <v>40</v>
      </c>
      <c r="P75" s="12" t="s">
        <v>222</v>
      </c>
      <c r="Q75" s="12" t="s">
        <v>222</v>
      </c>
      <c r="R75" s="12" t="s">
        <v>223</v>
      </c>
      <c r="S75" s="12" t="s">
        <v>222</v>
      </c>
      <c r="T75" s="12" t="s">
        <v>222</v>
      </c>
      <c r="U75" s="12" t="s">
        <v>222</v>
      </c>
      <c r="V75">
        <v>2</v>
      </c>
      <c r="W75">
        <v>3</v>
      </c>
      <c r="X75">
        <v>1</v>
      </c>
    </row>
    <row r="76" spans="1:24" x14ac:dyDescent="0.25">
      <c r="A76" s="12" t="s">
        <v>41</v>
      </c>
      <c r="B76" s="12" t="s">
        <v>137</v>
      </c>
      <c r="C76" s="12" t="s">
        <v>111</v>
      </c>
      <c r="D76">
        <v>1963</v>
      </c>
      <c r="E76">
        <v>1966</v>
      </c>
      <c r="F76" s="12" t="s">
        <v>113</v>
      </c>
      <c r="G76" s="12" t="s">
        <v>222</v>
      </c>
      <c r="H76" s="12" t="s">
        <v>223</v>
      </c>
      <c r="I76" s="12" t="s">
        <v>223</v>
      </c>
      <c r="J76" s="12" t="s">
        <v>222</v>
      </c>
      <c r="K76" s="12" t="s">
        <v>222</v>
      </c>
      <c r="L76" s="12" t="s">
        <v>222</v>
      </c>
      <c r="M76" s="12" t="s">
        <v>222</v>
      </c>
      <c r="N76" s="12" t="s">
        <v>222</v>
      </c>
      <c r="O76" s="12" t="s">
        <v>35</v>
      </c>
      <c r="P76" s="12" t="s">
        <v>223</v>
      </c>
      <c r="Q76" s="12" t="s">
        <v>222</v>
      </c>
      <c r="R76" s="12" t="s">
        <v>222</v>
      </c>
      <c r="S76" s="12" t="s">
        <v>222</v>
      </c>
      <c r="T76" s="12" t="s">
        <v>222</v>
      </c>
      <c r="U76" s="12" t="s">
        <v>222</v>
      </c>
      <c r="V76">
        <v>1</v>
      </c>
      <c r="W76">
        <v>5</v>
      </c>
      <c r="X76">
        <v>4</v>
      </c>
    </row>
    <row r="77" spans="1:24" x14ac:dyDescent="0.25">
      <c r="A77" s="12" t="s">
        <v>41</v>
      </c>
      <c r="B77" s="12" t="s">
        <v>138</v>
      </c>
      <c r="C77" s="12" t="s">
        <v>111</v>
      </c>
      <c r="D77">
        <v>1963</v>
      </c>
      <c r="E77">
        <v>1966</v>
      </c>
      <c r="F77" s="12" t="s">
        <v>11</v>
      </c>
      <c r="G77" s="12" t="s">
        <v>222</v>
      </c>
      <c r="H77" s="12" t="s">
        <v>223</v>
      </c>
      <c r="I77" s="12" t="s">
        <v>222</v>
      </c>
      <c r="J77" s="12" t="s">
        <v>222</v>
      </c>
      <c r="K77" s="12" t="s">
        <v>222</v>
      </c>
      <c r="L77" s="12" t="s">
        <v>222</v>
      </c>
      <c r="M77" s="12" t="s">
        <v>222</v>
      </c>
      <c r="N77" s="12" t="s">
        <v>222</v>
      </c>
      <c r="O77" s="12" t="s">
        <v>28</v>
      </c>
      <c r="P77" s="12" t="s">
        <v>223</v>
      </c>
      <c r="Q77" s="12" t="s">
        <v>222</v>
      </c>
      <c r="R77" s="12" t="s">
        <v>223</v>
      </c>
      <c r="S77" s="12" t="s">
        <v>222</v>
      </c>
      <c r="T77" s="12" t="s">
        <v>222</v>
      </c>
      <c r="U77" s="12" t="s">
        <v>222</v>
      </c>
      <c r="V77">
        <v>1</v>
      </c>
      <c r="W77">
        <v>5</v>
      </c>
      <c r="X77">
        <v>4</v>
      </c>
    </row>
    <row r="78" spans="1:24" x14ac:dyDescent="0.25">
      <c r="A78" s="12" t="s">
        <v>41</v>
      </c>
      <c r="B78" s="12" t="s">
        <v>139</v>
      </c>
      <c r="C78" s="12" t="s">
        <v>111</v>
      </c>
      <c r="D78">
        <v>1963</v>
      </c>
      <c r="E78">
        <v>1966</v>
      </c>
      <c r="F78" s="12" t="s">
        <v>140</v>
      </c>
      <c r="G78" s="12" t="s">
        <v>223</v>
      </c>
      <c r="H78" s="12" t="s">
        <v>223</v>
      </c>
      <c r="I78" s="12" t="s">
        <v>222</v>
      </c>
      <c r="J78" s="12" t="s">
        <v>223</v>
      </c>
      <c r="K78" s="12" t="s">
        <v>222</v>
      </c>
      <c r="L78" s="12" t="s">
        <v>222</v>
      </c>
      <c r="M78" s="12" t="s">
        <v>222</v>
      </c>
      <c r="N78" s="12" t="s">
        <v>222</v>
      </c>
      <c r="O78" s="12" t="s">
        <v>58</v>
      </c>
      <c r="P78" s="12" t="s">
        <v>222</v>
      </c>
      <c r="Q78" s="12" t="s">
        <v>223</v>
      </c>
      <c r="R78" s="12" t="s">
        <v>222</v>
      </c>
      <c r="S78" s="12" t="s">
        <v>222</v>
      </c>
      <c r="T78" s="12" t="s">
        <v>223</v>
      </c>
      <c r="U78" s="12" t="s">
        <v>222</v>
      </c>
      <c r="V78">
        <v>2</v>
      </c>
      <c r="W78">
        <v>3</v>
      </c>
      <c r="X78">
        <v>1</v>
      </c>
    </row>
    <row r="79" spans="1:24" x14ac:dyDescent="0.25">
      <c r="A79" s="12" t="s">
        <v>41</v>
      </c>
      <c r="B79" s="12" t="s">
        <v>141</v>
      </c>
      <c r="C79" s="12" t="s">
        <v>111</v>
      </c>
      <c r="D79">
        <v>1963</v>
      </c>
      <c r="E79">
        <v>1966</v>
      </c>
      <c r="F79" s="12" t="s">
        <v>11</v>
      </c>
      <c r="G79" s="12" t="s">
        <v>222</v>
      </c>
      <c r="H79" s="12" t="s">
        <v>223</v>
      </c>
      <c r="I79" s="12" t="s">
        <v>222</v>
      </c>
      <c r="J79" s="12" t="s">
        <v>222</v>
      </c>
      <c r="K79" s="12" t="s">
        <v>222</v>
      </c>
      <c r="L79" s="12" t="s">
        <v>222</v>
      </c>
      <c r="M79" s="12" t="s">
        <v>222</v>
      </c>
      <c r="N79" s="12" t="s">
        <v>222</v>
      </c>
      <c r="O79" s="12" t="s">
        <v>93</v>
      </c>
      <c r="P79" s="12" t="s">
        <v>222</v>
      </c>
      <c r="Q79" s="12" t="s">
        <v>222</v>
      </c>
      <c r="R79" s="12" t="s">
        <v>222</v>
      </c>
      <c r="S79" s="12" t="s">
        <v>222</v>
      </c>
      <c r="T79" s="12" t="s">
        <v>223</v>
      </c>
      <c r="U79" s="12" t="s">
        <v>222</v>
      </c>
      <c r="V79">
        <v>2</v>
      </c>
      <c r="W79">
        <v>5</v>
      </c>
      <c r="X79">
        <v>3</v>
      </c>
    </row>
    <row r="80" spans="1:24" x14ac:dyDescent="0.25">
      <c r="A80" s="12" t="s">
        <v>41</v>
      </c>
      <c r="B80" s="12" t="s">
        <v>142</v>
      </c>
      <c r="C80" s="12" t="s">
        <v>111</v>
      </c>
      <c r="D80">
        <v>1963</v>
      </c>
      <c r="E80">
        <v>1966</v>
      </c>
      <c r="F80" s="12" t="s">
        <v>11</v>
      </c>
      <c r="G80" s="12" t="s">
        <v>222</v>
      </c>
      <c r="H80" s="12" t="s">
        <v>223</v>
      </c>
      <c r="I80" s="12" t="s">
        <v>222</v>
      </c>
      <c r="J80" s="12" t="s">
        <v>222</v>
      </c>
      <c r="K80" s="12" t="s">
        <v>222</v>
      </c>
      <c r="L80" s="12" t="s">
        <v>222</v>
      </c>
      <c r="M80" s="12" t="s">
        <v>222</v>
      </c>
      <c r="N80" s="12" t="s">
        <v>222</v>
      </c>
      <c r="O80" s="12" t="s">
        <v>23</v>
      </c>
      <c r="P80" s="12" t="s">
        <v>223</v>
      </c>
      <c r="Q80" s="12" t="s">
        <v>222</v>
      </c>
      <c r="R80" s="12" t="s">
        <v>222</v>
      </c>
      <c r="S80" s="12" t="s">
        <v>222</v>
      </c>
      <c r="T80" s="12" t="s">
        <v>223</v>
      </c>
      <c r="U80" s="12" t="s">
        <v>222</v>
      </c>
      <c r="V80">
        <v>2</v>
      </c>
      <c r="W80">
        <v>3</v>
      </c>
      <c r="X80">
        <v>1</v>
      </c>
    </row>
    <row r="81" spans="1:24" x14ac:dyDescent="0.25">
      <c r="A81" s="12" t="s">
        <v>41</v>
      </c>
      <c r="B81" s="12" t="s">
        <v>143</v>
      </c>
      <c r="C81" s="12" t="s">
        <v>111</v>
      </c>
      <c r="D81">
        <v>1963</v>
      </c>
      <c r="E81">
        <v>1966</v>
      </c>
      <c r="F81" s="12" t="s">
        <v>32</v>
      </c>
      <c r="G81" s="12" t="s">
        <v>222</v>
      </c>
      <c r="H81" s="12" t="s">
        <v>222</v>
      </c>
      <c r="I81" s="12" t="s">
        <v>223</v>
      </c>
      <c r="J81" s="12" t="s">
        <v>222</v>
      </c>
      <c r="K81" s="12" t="s">
        <v>222</v>
      </c>
      <c r="L81" s="12" t="s">
        <v>222</v>
      </c>
      <c r="M81" s="12" t="s">
        <v>222</v>
      </c>
      <c r="N81" s="12" t="s">
        <v>222</v>
      </c>
      <c r="O81" s="12" t="s">
        <v>35</v>
      </c>
      <c r="P81" s="12" t="s">
        <v>223</v>
      </c>
      <c r="Q81" s="12" t="s">
        <v>222</v>
      </c>
      <c r="R81" s="12" t="s">
        <v>222</v>
      </c>
      <c r="S81" s="12" t="s">
        <v>222</v>
      </c>
      <c r="T81" s="12" t="s">
        <v>222</v>
      </c>
      <c r="U81" s="12" t="s">
        <v>222</v>
      </c>
      <c r="V81">
        <v>1</v>
      </c>
      <c r="W81">
        <v>2</v>
      </c>
      <c r="X81">
        <v>1</v>
      </c>
    </row>
    <row r="82" spans="1:24" x14ac:dyDescent="0.25">
      <c r="A82" s="12" t="s">
        <v>41</v>
      </c>
      <c r="B82" s="12" t="s">
        <v>144</v>
      </c>
      <c r="C82" s="12" t="s">
        <v>111</v>
      </c>
      <c r="D82">
        <v>1963</v>
      </c>
      <c r="E82">
        <v>1966</v>
      </c>
      <c r="F82" s="12" t="s">
        <v>116</v>
      </c>
      <c r="G82" s="12" t="s">
        <v>222</v>
      </c>
      <c r="H82" s="12" t="s">
        <v>223</v>
      </c>
      <c r="I82" s="12" t="s">
        <v>223</v>
      </c>
      <c r="J82" s="12" t="s">
        <v>222</v>
      </c>
      <c r="K82" s="12" t="s">
        <v>222</v>
      </c>
      <c r="L82" s="12" t="s">
        <v>222</v>
      </c>
      <c r="M82" s="12" t="s">
        <v>222</v>
      </c>
      <c r="N82" s="12" t="s">
        <v>222</v>
      </c>
      <c r="O82" s="12" t="s">
        <v>35</v>
      </c>
      <c r="P82" s="12" t="s">
        <v>223</v>
      </c>
      <c r="Q82" s="12" t="s">
        <v>222</v>
      </c>
      <c r="R82" s="12" t="s">
        <v>222</v>
      </c>
      <c r="S82" s="12" t="s">
        <v>222</v>
      </c>
      <c r="T82" s="12" t="s">
        <v>222</v>
      </c>
      <c r="U82" s="12" t="s">
        <v>222</v>
      </c>
      <c r="V82">
        <v>1</v>
      </c>
      <c r="W82">
        <v>2</v>
      </c>
      <c r="X82">
        <v>1</v>
      </c>
    </row>
    <row r="83" spans="1:24" x14ac:dyDescent="0.25">
      <c r="A83" s="12" t="s">
        <v>41</v>
      </c>
      <c r="B83" s="12" t="s">
        <v>145</v>
      </c>
      <c r="C83" s="12" t="s">
        <v>111</v>
      </c>
      <c r="D83">
        <v>1963</v>
      </c>
      <c r="E83">
        <v>1966</v>
      </c>
      <c r="F83" s="12" t="s">
        <v>32</v>
      </c>
      <c r="G83" s="12" t="s">
        <v>222</v>
      </c>
      <c r="H83" s="12" t="s">
        <v>222</v>
      </c>
      <c r="I83" s="12" t="s">
        <v>223</v>
      </c>
      <c r="J83" s="12" t="s">
        <v>222</v>
      </c>
      <c r="K83" s="12" t="s">
        <v>222</v>
      </c>
      <c r="L83" s="12" t="s">
        <v>222</v>
      </c>
      <c r="M83" s="12" t="s">
        <v>222</v>
      </c>
      <c r="N83" s="12" t="s">
        <v>222</v>
      </c>
      <c r="O83" s="12" t="s">
        <v>35</v>
      </c>
      <c r="P83" s="12" t="s">
        <v>223</v>
      </c>
      <c r="Q83" s="12" t="s">
        <v>222</v>
      </c>
      <c r="R83" s="12" t="s">
        <v>222</v>
      </c>
      <c r="S83" s="12" t="s">
        <v>222</v>
      </c>
      <c r="T83" s="12" t="s">
        <v>222</v>
      </c>
      <c r="U83" s="12" t="s">
        <v>222</v>
      </c>
      <c r="V83">
        <v>1</v>
      </c>
      <c r="W83">
        <v>4</v>
      </c>
      <c r="X83">
        <v>3</v>
      </c>
    </row>
    <row r="84" spans="1:24" x14ac:dyDescent="0.25">
      <c r="A84" s="12" t="s">
        <v>41</v>
      </c>
      <c r="B84" s="12" t="s">
        <v>146</v>
      </c>
      <c r="C84" s="12" t="s">
        <v>111</v>
      </c>
      <c r="D84">
        <v>1963</v>
      </c>
      <c r="E84">
        <v>1966</v>
      </c>
      <c r="F84" s="12" t="s">
        <v>147</v>
      </c>
      <c r="G84" s="12" t="s">
        <v>223</v>
      </c>
      <c r="H84" s="12" t="s">
        <v>223</v>
      </c>
      <c r="I84" s="12" t="s">
        <v>222</v>
      </c>
      <c r="J84" s="12" t="s">
        <v>223</v>
      </c>
      <c r="K84" s="12" t="s">
        <v>222</v>
      </c>
      <c r="L84" s="12" t="s">
        <v>222</v>
      </c>
      <c r="M84" s="12" t="s">
        <v>223</v>
      </c>
      <c r="N84" s="12" t="s">
        <v>222</v>
      </c>
      <c r="O84" s="12" t="s">
        <v>35</v>
      </c>
      <c r="P84" s="12" t="s">
        <v>223</v>
      </c>
      <c r="Q84" s="12" t="s">
        <v>222</v>
      </c>
      <c r="R84" s="12" t="s">
        <v>222</v>
      </c>
      <c r="S84" s="12" t="s">
        <v>222</v>
      </c>
      <c r="T84" s="12" t="s">
        <v>222</v>
      </c>
      <c r="U84" s="12" t="s">
        <v>222</v>
      </c>
      <c r="V84">
        <v>2</v>
      </c>
      <c r="W84">
        <v>3</v>
      </c>
      <c r="X84">
        <v>1</v>
      </c>
    </row>
    <row r="85" spans="1:24" x14ac:dyDescent="0.25">
      <c r="A85" s="12" t="s">
        <v>41</v>
      </c>
      <c r="B85" s="12" t="s">
        <v>148</v>
      </c>
      <c r="C85" s="12" t="s">
        <v>111</v>
      </c>
      <c r="D85">
        <v>1963</v>
      </c>
      <c r="E85">
        <v>1966</v>
      </c>
      <c r="F85" s="12" t="s">
        <v>11</v>
      </c>
      <c r="G85" s="12" t="s">
        <v>222</v>
      </c>
      <c r="H85" s="12" t="s">
        <v>223</v>
      </c>
      <c r="I85" s="12" t="s">
        <v>222</v>
      </c>
      <c r="J85" s="12" t="s">
        <v>222</v>
      </c>
      <c r="K85" s="12" t="s">
        <v>222</v>
      </c>
      <c r="L85" s="12" t="s">
        <v>222</v>
      </c>
      <c r="M85" s="12" t="s">
        <v>222</v>
      </c>
      <c r="N85" s="12" t="s">
        <v>222</v>
      </c>
      <c r="O85" s="12" t="s">
        <v>44</v>
      </c>
      <c r="P85" s="12" t="s">
        <v>222</v>
      </c>
      <c r="Q85" s="12" t="s">
        <v>223</v>
      </c>
      <c r="R85" s="12" t="s">
        <v>222</v>
      </c>
      <c r="S85" s="12" t="s">
        <v>222</v>
      </c>
      <c r="T85" s="12" t="s">
        <v>222</v>
      </c>
      <c r="U85" s="12" t="s">
        <v>222</v>
      </c>
      <c r="V85">
        <v>2</v>
      </c>
      <c r="W85">
        <v>3</v>
      </c>
      <c r="X85">
        <v>1</v>
      </c>
    </row>
    <row r="86" spans="1:24" x14ac:dyDescent="0.25">
      <c r="A86" s="12" t="s">
        <v>149</v>
      </c>
      <c r="B86" s="12" t="s">
        <v>150</v>
      </c>
      <c r="C86" s="12" t="s">
        <v>151</v>
      </c>
      <c r="D86">
        <v>1977</v>
      </c>
      <c r="E86">
        <v>1980</v>
      </c>
      <c r="F86" s="12" t="s">
        <v>11</v>
      </c>
      <c r="G86" s="12" t="s">
        <v>222</v>
      </c>
      <c r="H86" s="12" t="s">
        <v>223</v>
      </c>
      <c r="I86" s="12" t="s">
        <v>222</v>
      </c>
      <c r="J86" s="12" t="s">
        <v>222</v>
      </c>
      <c r="K86" s="12" t="s">
        <v>222</v>
      </c>
      <c r="L86" s="12" t="s">
        <v>222</v>
      </c>
      <c r="M86" s="12" t="s">
        <v>222</v>
      </c>
      <c r="N86" s="12" t="s">
        <v>222</v>
      </c>
      <c r="O86" s="12" t="s">
        <v>71</v>
      </c>
      <c r="P86" s="12" t="s">
        <v>222</v>
      </c>
      <c r="Q86" s="12" t="s">
        <v>222</v>
      </c>
      <c r="R86" s="12" t="s">
        <v>223</v>
      </c>
      <c r="S86" s="12" t="s">
        <v>222</v>
      </c>
      <c r="T86" s="12" t="s">
        <v>223</v>
      </c>
      <c r="U86" s="12" t="s">
        <v>222</v>
      </c>
      <c r="V86">
        <v>1</v>
      </c>
      <c r="W86">
        <v>2</v>
      </c>
      <c r="X86">
        <v>1</v>
      </c>
    </row>
    <row r="87" spans="1:24" x14ac:dyDescent="0.25">
      <c r="A87" s="12" t="s">
        <v>149</v>
      </c>
      <c r="B87" s="12" t="s">
        <v>152</v>
      </c>
      <c r="C87" s="12" t="s">
        <v>151</v>
      </c>
      <c r="D87">
        <v>1977</v>
      </c>
      <c r="E87">
        <v>1980</v>
      </c>
      <c r="F87" s="12" t="s">
        <v>11</v>
      </c>
      <c r="G87" s="12" t="s">
        <v>222</v>
      </c>
      <c r="H87" s="12" t="s">
        <v>223</v>
      </c>
      <c r="I87" s="12" t="s">
        <v>222</v>
      </c>
      <c r="J87" s="12" t="s">
        <v>222</v>
      </c>
      <c r="K87" s="12" t="s">
        <v>222</v>
      </c>
      <c r="L87" s="12" t="s">
        <v>222</v>
      </c>
      <c r="M87" s="12" t="s">
        <v>222</v>
      </c>
      <c r="N87" s="12" t="s">
        <v>222</v>
      </c>
      <c r="O87" s="12" t="s">
        <v>93</v>
      </c>
      <c r="P87" s="12" t="s">
        <v>222</v>
      </c>
      <c r="Q87" s="12" t="s">
        <v>222</v>
      </c>
      <c r="R87" s="12" t="s">
        <v>222</v>
      </c>
      <c r="S87" s="12" t="s">
        <v>222</v>
      </c>
      <c r="T87" s="12" t="s">
        <v>223</v>
      </c>
      <c r="U87" s="12" t="s">
        <v>222</v>
      </c>
      <c r="V87">
        <v>1</v>
      </c>
      <c r="W87">
        <v>2</v>
      </c>
      <c r="X87">
        <v>1</v>
      </c>
    </row>
    <row r="88" spans="1:24" x14ac:dyDescent="0.25">
      <c r="A88" s="12" t="s">
        <v>149</v>
      </c>
      <c r="B88" s="12" t="s">
        <v>153</v>
      </c>
      <c r="C88" s="12" t="s">
        <v>151</v>
      </c>
      <c r="D88">
        <v>1977</v>
      </c>
      <c r="E88">
        <v>1980</v>
      </c>
      <c r="F88" s="12" t="s">
        <v>154</v>
      </c>
      <c r="G88" s="12" t="s">
        <v>222</v>
      </c>
      <c r="H88" s="12" t="s">
        <v>223</v>
      </c>
      <c r="I88" s="12" t="s">
        <v>222</v>
      </c>
      <c r="J88" s="12" t="s">
        <v>222</v>
      </c>
      <c r="K88" s="12" t="s">
        <v>223</v>
      </c>
      <c r="L88" s="12" t="s">
        <v>222</v>
      </c>
      <c r="M88" s="12" t="s">
        <v>222</v>
      </c>
      <c r="N88" s="12" t="s">
        <v>222</v>
      </c>
      <c r="O88" s="12" t="s">
        <v>93</v>
      </c>
      <c r="P88" s="12" t="s">
        <v>222</v>
      </c>
      <c r="Q88" s="12" t="s">
        <v>222</v>
      </c>
      <c r="R88" s="12" t="s">
        <v>222</v>
      </c>
      <c r="S88" s="12" t="s">
        <v>222</v>
      </c>
      <c r="T88" s="12" t="s">
        <v>223</v>
      </c>
      <c r="U88" s="12" t="s">
        <v>222</v>
      </c>
      <c r="V88">
        <v>1</v>
      </c>
      <c r="W88">
        <v>1</v>
      </c>
      <c r="X88">
        <v>0</v>
      </c>
    </row>
    <row r="89" spans="1:24" x14ac:dyDescent="0.25">
      <c r="A89" s="12" t="s">
        <v>149</v>
      </c>
      <c r="B89" s="12" t="s">
        <v>155</v>
      </c>
      <c r="C89" s="12" t="s">
        <v>151</v>
      </c>
      <c r="D89">
        <v>1977</v>
      </c>
      <c r="E89">
        <v>1980</v>
      </c>
      <c r="F89" s="12" t="s">
        <v>64</v>
      </c>
      <c r="G89" s="12" t="s">
        <v>222</v>
      </c>
      <c r="H89" s="12" t="s">
        <v>222</v>
      </c>
      <c r="I89" s="12" t="s">
        <v>222</v>
      </c>
      <c r="J89" s="12" t="s">
        <v>222</v>
      </c>
      <c r="K89" s="12" t="s">
        <v>222</v>
      </c>
      <c r="L89" s="12" t="s">
        <v>222</v>
      </c>
      <c r="M89" s="12" t="s">
        <v>222</v>
      </c>
      <c r="N89" s="12" t="s">
        <v>223</v>
      </c>
      <c r="O89" s="12" t="s">
        <v>71</v>
      </c>
      <c r="P89" s="12" t="s">
        <v>222</v>
      </c>
      <c r="Q89" s="12" t="s">
        <v>222</v>
      </c>
      <c r="R89" s="12" t="s">
        <v>223</v>
      </c>
      <c r="S89" s="12" t="s">
        <v>222</v>
      </c>
      <c r="T89" s="12" t="s">
        <v>223</v>
      </c>
      <c r="U89" s="12" t="s">
        <v>222</v>
      </c>
      <c r="V89">
        <v>1</v>
      </c>
      <c r="W89">
        <v>2</v>
      </c>
      <c r="X89">
        <v>1</v>
      </c>
    </row>
    <row r="90" spans="1:24" x14ac:dyDescent="0.25">
      <c r="A90" s="12" t="s">
        <v>149</v>
      </c>
      <c r="B90" s="12" t="s">
        <v>156</v>
      </c>
      <c r="C90" s="12" t="s">
        <v>151</v>
      </c>
      <c r="D90">
        <v>1977</v>
      </c>
      <c r="E90">
        <v>1980</v>
      </c>
      <c r="F90" s="12" t="s">
        <v>19</v>
      </c>
      <c r="G90" s="12" t="s">
        <v>223</v>
      </c>
      <c r="H90" s="12" t="s">
        <v>222</v>
      </c>
      <c r="I90" s="12" t="s">
        <v>222</v>
      </c>
      <c r="J90" s="12" t="s">
        <v>222</v>
      </c>
      <c r="K90" s="12" t="s">
        <v>222</v>
      </c>
      <c r="L90" s="12" t="s">
        <v>222</v>
      </c>
      <c r="M90" s="12" t="s">
        <v>222</v>
      </c>
      <c r="N90" s="12" t="s">
        <v>222</v>
      </c>
      <c r="O90" s="12" t="s">
        <v>104</v>
      </c>
      <c r="P90" s="12" t="s">
        <v>222</v>
      </c>
      <c r="Q90" s="12" t="s">
        <v>222</v>
      </c>
      <c r="R90" s="12" t="s">
        <v>222</v>
      </c>
      <c r="S90" s="12" t="s">
        <v>222</v>
      </c>
      <c r="T90" s="12" t="s">
        <v>223</v>
      </c>
      <c r="U90" s="12" t="s">
        <v>223</v>
      </c>
      <c r="V90">
        <v>2</v>
      </c>
      <c r="W90">
        <v>2</v>
      </c>
      <c r="X90">
        <v>0</v>
      </c>
    </row>
    <row r="91" spans="1:24" x14ac:dyDescent="0.25">
      <c r="A91" s="12" t="s">
        <v>149</v>
      </c>
      <c r="B91" s="12" t="s">
        <v>157</v>
      </c>
      <c r="C91" s="12" t="s">
        <v>151</v>
      </c>
      <c r="D91">
        <v>1977</v>
      </c>
      <c r="E91">
        <v>1980</v>
      </c>
      <c r="F91" s="12" t="s">
        <v>158</v>
      </c>
      <c r="G91" s="12" t="s">
        <v>222</v>
      </c>
      <c r="H91" s="12" t="s">
        <v>222</v>
      </c>
      <c r="I91" s="12" t="s">
        <v>222</v>
      </c>
      <c r="J91" s="12" t="s">
        <v>222</v>
      </c>
      <c r="K91" s="12" t="s">
        <v>223</v>
      </c>
      <c r="L91" s="12" t="s">
        <v>222</v>
      </c>
      <c r="M91" s="12" t="s">
        <v>222</v>
      </c>
      <c r="N91" s="12" t="s">
        <v>222</v>
      </c>
      <c r="O91" s="12" t="s">
        <v>93</v>
      </c>
      <c r="P91" s="12" t="s">
        <v>222</v>
      </c>
      <c r="Q91" s="12" t="s">
        <v>222</v>
      </c>
      <c r="R91" s="12" t="s">
        <v>222</v>
      </c>
      <c r="S91" s="12" t="s">
        <v>222</v>
      </c>
      <c r="T91" s="12" t="s">
        <v>223</v>
      </c>
      <c r="U91" s="12" t="s">
        <v>222</v>
      </c>
      <c r="V91">
        <v>1</v>
      </c>
      <c r="W91">
        <v>2</v>
      </c>
      <c r="X91">
        <v>1</v>
      </c>
    </row>
    <row r="92" spans="1:24" x14ac:dyDescent="0.25">
      <c r="A92" s="12" t="s">
        <v>149</v>
      </c>
      <c r="B92" s="12" t="s">
        <v>159</v>
      </c>
      <c r="C92" s="12" t="s">
        <v>151</v>
      </c>
      <c r="D92">
        <v>1977</v>
      </c>
      <c r="E92">
        <v>1980</v>
      </c>
      <c r="F92" s="12" t="s">
        <v>11</v>
      </c>
      <c r="G92" s="12" t="s">
        <v>222</v>
      </c>
      <c r="H92" s="12" t="s">
        <v>223</v>
      </c>
      <c r="I92" s="12" t="s">
        <v>222</v>
      </c>
      <c r="J92" s="12" t="s">
        <v>222</v>
      </c>
      <c r="K92" s="12" t="s">
        <v>222</v>
      </c>
      <c r="L92" s="12" t="s">
        <v>222</v>
      </c>
      <c r="M92" s="12" t="s">
        <v>222</v>
      </c>
      <c r="N92" s="12" t="s">
        <v>222</v>
      </c>
      <c r="O92" s="12" t="s">
        <v>93</v>
      </c>
      <c r="P92" s="12" t="s">
        <v>222</v>
      </c>
      <c r="Q92" s="12" t="s">
        <v>222</v>
      </c>
      <c r="R92" s="12" t="s">
        <v>222</v>
      </c>
      <c r="S92" s="12" t="s">
        <v>222</v>
      </c>
      <c r="T92" s="12" t="s">
        <v>223</v>
      </c>
      <c r="U92" s="12" t="s">
        <v>222</v>
      </c>
      <c r="V92">
        <v>1</v>
      </c>
      <c r="W92">
        <v>1</v>
      </c>
      <c r="X92">
        <v>0</v>
      </c>
    </row>
    <row r="93" spans="1:24" x14ac:dyDescent="0.25">
      <c r="A93" s="12" t="s">
        <v>149</v>
      </c>
      <c r="B93" s="12" t="s">
        <v>160</v>
      </c>
      <c r="C93" s="12" t="s">
        <v>161</v>
      </c>
      <c r="D93">
        <v>1997</v>
      </c>
      <c r="E93">
        <v>2000</v>
      </c>
      <c r="F93" s="12" t="s">
        <v>19</v>
      </c>
      <c r="G93" s="12" t="s">
        <v>223</v>
      </c>
      <c r="H93" s="12" t="s">
        <v>222</v>
      </c>
      <c r="I93" s="12" t="s">
        <v>222</v>
      </c>
      <c r="J93" s="12" t="s">
        <v>222</v>
      </c>
      <c r="K93" s="12" t="s">
        <v>222</v>
      </c>
      <c r="L93" s="12" t="s">
        <v>222</v>
      </c>
      <c r="M93" s="12" t="s">
        <v>222</v>
      </c>
      <c r="N93" s="12" t="s">
        <v>222</v>
      </c>
      <c r="O93" s="12" t="s">
        <v>77</v>
      </c>
      <c r="P93" s="12" t="s">
        <v>222</v>
      </c>
      <c r="Q93" s="12" t="s">
        <v>223</v>
      </c>
      <c r="R93" s="12" t="s">
        <v>222</v>
      </c>
      <c r="S93" s="12" t="s">
        <v>222</v>
      </c>
      <c r="T93" s="12" t="s">
        <v>223</v>
      </c>
      <c r="U93" s="12" t="s">
        <v>222</v>
      </c>
      <c r="V93">
        <v>1</v>
      </c>
      <c r="W93">
        <v>2</v>
      </c>
      <c r="X93">
        <v>1</v>
      </c>
    </row>
    <row r="94" spans="1:24" x14ac:dyDescent="0.25">
      <c r="A94" s="12" t="s">
        <v>149</v>
      </c>
      <c r="B94" s="12" t="s">
        <v>162</v>
      </c>
      <c r="C94" s="12" t="s">
        <v>161</v>
      </c>
      <c r="D94">
        <v>1997</v>
      </c>
      <c r="E94">
        <v>2000</v>
      </c>
      <c r="F94" s="12" t="s">
        <v>158</v>
      </c>
      <c r="G94" s="12" t="s">
        <v>222</v>
      </c>
      <c r="H94" s="12" t="s">
        <v>222</v>
      </c>
      <c r="I94" s="12" t="s">
        <v>222</v>
      </c>
      <c r="J94" s="12" t="s">
        <v>222</v>
      </c>
      <c r="K94" s="12" t="s">
        <v>223</v>
      </c>
      <c r="L94" s="12" t="s">
        <v>222</v>
      </c>
      <c r="M94" s="12" t="s">
        <v>222</v>
      </c>
      <c r="N94" s="12" t="s">
        <v>222</v>
      </c>
      <c r="O94" s="12" t="s">
        <v>23</v>
      </c>
      <c r="P94" s="12" t="s">
        <v>223</v>
      </c>
      <c r="Q94" s="12" t="s">
        <v>222</v>
      </c>
      <c r="R94" s="12" t="s">
        <v>222</v>
      </c>
      <c r="S94" s="12" t="s">
        <v>222</v>
      </c>
      <c r="T94" s="12" t="s">
        <v>223</v>
      </c>
      <c r="U94" s="12" t="s">
        <v>222</v>
      </c>
      <c r="V94">
        <v>1</v>
      </c>
      <c r="W94">
        <v>2</v>
      </c>
      <c r="X94">
        <v>1</v>
      </c>
    </row>
    <row r="95" spans="1:24" x14ac:dyDescent="0.25">
      <c r="A95" s="12" t="s">
        <v>149</v>
      </c>
      <c r="B95" s="12" t="s">
        <v>163</v>
      </c>
      <c r="C95" s="12" t="s">
        <v>161</v>
      </c>
      <c r="D95">
        <v>1997</v>
      </c>
      <c r="E95">
        <v>2000</v>
      </c>
      <c r="F95" s="12" t="s">
        <v>11</v>
      </c>
      <c r="G95" s="12" t="s">
        <v>222</v>
      </c>
      <c r="H95" s="12" t="s">
        <v>223</v>
      </c>
      <c r="I95" s="12" t="s">
        <v>222</v>
      </c>
      <c r="J95" s="12" t="s">
        <v>222</v>
      </c>
      <c r="K95" s="12" t="s">
        <v>222</v>
      </c>
      <c r="L95" s="12" t="s">
        <v>222</v>
      </c>
      <c r="M95" s="12" t="s">
        <v>222</v>
      </c>
      <c r="N95" s="12" t="s">
        <v>222</v>
      </c>
      <c r="O95" s="12" t="s">
        <v>77</v>
      </c>
      <c r="P95" s="12" t="s">
        <v>222</v>
      </c>
      <c r="Q95" s="12" t="s">
        <v>223</v>
      </c>
      <c r="R95" s="12" t="s">
        <v>222</v>
      </c>
      <c r="S95" s="12" t="s">
        <v>222</v>
      </c>
      <c r="T95" s="12" t="s">
        <v>223</v>
      </c>
      <c r="U95" s="12" t="s">
        <v>222</v>
      </c>
      <c r="V95">
        <v>1</v>
      </c>
      <c r="W95">
        <v>2</v>
      </c>
      <c r="X95">
        <v>1</v>
      </c>
    </row>
    <row r="96" spans="1:24" x14ac:dyDescent="0.25">
      <c r="A96" s="12" t="s">
        <v>149</v>
      </c>
      <c r="B96" s="12" t="s">
        <v>164</v>
      </c>
      <c r="C96" s="12" t="s">
        <v>161</v>
      </c>
      <c r="D96">
        <v>1997</v>
      </c>
      <c r="E96">
        <v>2000</v>
      </c>
      <c r="F96" s="12" t="s">
        <v>19</v>
      </c>
      <c r="G96" s="12" t="s">
        <v>223</v>
      </c>
      <c r="H96" s="12" t="s">
        <v>222</v>
      </c>
      <c r="I96" s="12" t="s">
        <v>222</v>
      </c>
      <c r="J96" s="12" t="s">
        <v>222</v>
      </c>
      <c r="K96" s="12" t="s">
        <v>222</v>
      </c>
      <c r="L96" s="12" t="s">
        <v>222</v>
      </c>
      <c r="M96" s="12" t="s">
        <v>222</v>
      </c>
      <c r="N96" s="12" t="s">
        <v>222</v>
      </c>
      <c r="O96" s="12" t="s">
        <v>91</v>
      </c>
      <c r="P96" s="12" t="s">
        <v>222</v>
      </c>
      <c r="Q96" s="12" t="s">
        <v>223</v>
      </c>
      <c r="R96" s="12" t="s">
        <v>222</v>
      </c>
      <c r="S96" s="12" t="s">
        <v>222</v>
      </c>
      <c r="T96" s="12" t="s">
        <v>223</v>
      </c>
      <c r="U96" s="12" t="s">
        <v>223</v>
      </c>
      <c r="V96">
        <v>2</v>
      </c>
      <c r="W96">
        <v>2</v>
      </c>
      <c r="X96">
        <v>0</v>
      </c>
    </row>
    <row r="97" spans="1:24" x14ac:dyDescent="0.25">
      <c r="A97" s="12" t="s">
        <v>149</v>
      </c>
      <c r="B97" s="12" t="s">
        <v>165</v>
      </c>
      <c r="C97" s="12" t="s">
        <v>161</v>
      </c>
      <c r="D97">
        <v>1997</v>
      </c>
      <c r="E97">
        <v>2000</v>
      </c>
      <c r="F97" s="12" t="s">
        <v>19</v>
      </c>
      <c r="G97" s="12" t="s">
        <v>223</v>
      </c>
      <c r="H97" s="12" t="s">
        <v>222</v>
      </c>
      <c r="I97" s="12" t="s">
        <v>222</v>
      </c>
      <c r="J97" s="12" t="s">
        <v>222</v>
      </c>
      <c r="K97" s="12" t="s">
        <v>222</v>
      </c>
      <c r="L97" s="12" t="s">
        <v>222</v>
      </c>
      <c r="M97" s="12" t="s">
        <v>222</v>
      </c>
      <c r="N97" s="12" t="s">
        <v>222</v>
      </c>
      <c r="O97" s="12" t="s">
        <v>91</v>
      </c>
      <c r="P97" s="12" t="s">
        <v>222</v>
      </c>
      <c r="Q97" s="12" t="s">
        <v>223</v>
      </c>
      <c r="R97" s="12" t="s">
        <v>222</v>
      </c>
      <c r="S97" s="12" t="s">
        <v>222</v>
      </c>
      <c r="T97" s="12" t="s">
        <v>223</v>
      </c>
      <c r="U97" s="12" t="s">
        <v>223</v>
      </c>
      <c r="V97">
        <v>1</v>
      </c>
      <c r="W97">
        <v>2</v>
      </c>
      <c r="X97">
        <v>1</v>
      </c>
    </row>
    <row r="98" spans="1:24" x14ac:dyDescent="0.25">
      <c r="A98" s="12" t="s">
        <v>149</v>
      </c>
      <c r="B98" s="12" t="s">
        <v>166</v>
      </c>
      <c r="C98" s="12" t="s">
        <v>161</v>
      </c>
      <c r="D98">
        <v>1997</v>
      </c>
      <c r="E98">
        <v>2000</v>
      </c>
      <c r="F98" s="12" t="s">
        <v>25</v>
      </c>
      <c r="G98" s="12" t="s">
        <v>223</v>
      </c>
      <c r="H98" s="12" t="s">
        <v>223</v>
      </c>
      <c r="I98" s="12" t="s">
        <v>223</v>
      </c>
      <c r="J98" s="12" t="s">
        <v>222</v>
      </c>
      <c r="K98" s="12" t="s">
        <v>222</v>
      </c>
      <c r="L98" s="12" t="s">
        <v>222</v>
      </c>
      <c r="M98" s="12" t="s">
        <v>222</v>
      </c>
      <c r="N98" s="12" t="s">
        <v>222</v>
      </c>
      <c r="O98" s="12" t="s">
        <v>15</v>
      </c>
      <c r="P98" s="12" t="s">
        <v>223</v>
      </c>
      <c r="Q98" s="12" t="s">
        <v>223</v>
      </c>
      <c r="R98" s="12" t="s">
        <v>222</v>
      </c>
      <c r="S98" s="12" t="s">
        <v>222</v>
      </c>
      <c r="T98" s="12" t="s">
        <v>223</v>
      </c>
      <c r="U98" s="12" t="s">
        <v>222</v>
      </c>
      <c r="V98">
        <v>2</v>
      </c>
      <c r="W98">
        <v>2</v>
      </c>
      <c r="X98">
        <v>0</v>
      </c>
    </row>
    <row r="99" spans="1:24" x14ac:dyDescent="0.25">
      <c r="A99" s="12" t="s">
        <v>149</v>
      </c>
      <c r="B99" s="12" t="s">
        <v>167</v>
      </c>
      <c r="C99" s="12" t="s">
        <v>161</v>
      </c>
      <c r="D99">
        <v>1997</v>
      </c>
      <c r="E99">
        <v>2000</v>
      </c>
      <c r="F99" s="12" t="s">
        <v>11</v>
      </c>
      <c r="G99" s="12" t="s">
        <v>222</v>
      </c>
      <c r="H99" s="12" t="s">
        <v>223</v>
      </c>
      <c r="I99" s="12" t="s">
        <v>222</v>
      </c>
      <c r="J99" s="12" t="s">
        <v>222</v>
      </c>
      <c r="K99" s="12" t="s">
        <v>222</v>
      </c>
      <c r="L99" s="12" t="s">
        <v>222</v>
      </c>
      <c r="M99" s="12" t="s">
        <v>222</v>
      </c>
      <c r="N99" s="12" t="s">
        <v>222</v>
      </c>
      <c r="O99" s="12" t="s">
        <v>40</v>
      </c>
      <c r="P99" s="12" t="s">
        <v>222</v>
      </c>
      <c r="Q99" s="12" t="s">
        <v>222</v>
      </c>
      <c r="R99" s="12" t="s">
        <v>223</v>
      </c>
      <c r="S99" s="12" t="s">
        <v>222</v>
      </c>
      <c r="T99" s="12" t="s">
        <v>222</v>
      </c>
      <c r="U99" s="12" t="s">
        <v>222</v>
      </c>
      <c r="V99">
        <v>1</v>
      </c>
      <c r="W99">
        <v>2</v>
      </c>
      <c r="X99">
        <v>1</v>
      </c>
    </row>
    <row r="100" spans="1:24" x14ac:dyDescent="0.25">
      <c r="A100" s="12" t="s">
        <v>149</v>
      </c>
      <c r="B100" s="12" t="s">
        <v>168</v>
      </c>
      <c r="C100" s="12" t="s">
        <v>161</v>
      </c>
      <c r="D100">
        <v>1997</v>
      </c>
      <c r="E100">
        <v>2000</v>
      </c>
      <c r="F100" s="12" t="s">
        <v>11</v>
      </c>
      <c r="G100" s="12" t="s">
        <v>222</v>
      </c>
      <c r="H100" s="12" t="s">
        <v>223</v>
      </c>
      <c r="I100" s="12" t="s">
        <v>222</v>
      </c>
      <c r="J100" s="12" t="s">
        <v>222</v>
      </c>
      <c r="K100" s="12" t="s">
        <v>222</v>
      </c>
      <c r="L100" s="12" t="s">
        <v>222</v>
      </c>
      <c r="M100" s="12" t="s">
        <v>222</v>
      </c>
      <c r="N100" s="12" t="s">
        <v>222</v>
      </c>
      <c r="O100" s="12" t="s">
        <v>40</v>
      </c>
      <c r="P100" s="12" t="s">
        <v>222</v>
      </c>
      <c r="Q100" s="12" t="s">
        <v>222</v>
      </c>
      <c r="R100" s="12" t="s">
        <v>223</v>
      </c>
      <c r="S100" s="12" t="s">
        <v>222</v>
      </c>
      <c r="T100" s="12" t="s">
        <v>222</v>
      </c>
      <c r="U100" s="12" t="s">
        <v>222</v>
      </c>
      <c r="V100">
        <v>1</v>
      </c>
      <c r="W100">
        <v>5</v>
      </c>
      <c r="X100">
        <v>4</v>
      </c>
    </row>
    <row r="101" spans="1:24" x14ac:dyDescent="0.25">
      <c r="A101" s="12" t="s">
        <v>149</v>
      </c>
      <c r="B101" s="12" t="s">
        <v>169</v>
      </c>
      <c r="C101" s="12" t="s">
        <v>161</v>
      </c>
      <c r="D101">
        <v>1997</v>
      </c>
      <c r="E101">
        <v>2000</v>
      </c>
      <c r="F101" s="12" t="s">
        <v>11</v>
      </c>
      <c r="G101" s="12" t="s">
        <v>222</v>
      </c>
      <c r="H101" s="12" t="s">
        <v>223</v>
      </c>
      <c r="I101" s="12" t="s">
        <v>222</v>
      </c>
      <c r="J101" s="12" t="s">
        <v>222</v>
      </c>
      <c r="K101" s="12" t="s">
        <v>222</v>
      </c>
      <c r="L101" s="12" t="s">
        <v>222</v>
      </c>
      <c r="M101" s="12" t="s">
        <v>222</v>
      </c>
      <c r="N101" s="12" t="s">
        <v>222</v>
      </c>
      <c r="O101" s="12" t="s">
        <v>77</v>
      </c>
      <c r="P101" s="12" t="s">
        <v>222</v>
      </c>
      <c r="Q101" s="12" t="s">
        <v>223</v>
      </c>
      <c r="R101" s="12" t="s">
        <v>222</v>
      </c>
      <c r="S101" s="12" t="s">
        <v>222</v>
      </c>
      <c r="T101" s="12" t="s">
        <v>223</v>
      </c>
      <c r="U101" s="12" t="s">
        <v>222</v>
      </c>
      <c r="V101">
        <v>1</v>
      </c>
      <c r="W101">
        <v>2</v>
      </c>
      <c r="X101">
        <v>1</v>
      </c>
    </row>
    <row r="102" spans="1:24" x14ac:dyDescent="0.25">
      <c r="A102" s="12" t="s">
        <v>149</v>
      </c>
      <c r="B102" s="12" t="s">
        <v>170</v>
      </c>
      <c r="C102" s="12" t="s">
        <v>161</v>
      </c>
      <c r="D102">
        <v>1997</v>
      </c>
      <c r="E102">
        <v>2000</v>
      </c>
      <c r="F102" s="12" t="s">
        <v>11</v>
      </c>
      <c r="G102" s="12" t="s">
        <v>222</v>
      </c>
      <c r="H102" s="12" t="s">
        <v>223</v>
      </c>
      <c r="I102" s="12" t="s">
        <v>222</v>
      </c>
      <c r="J102" s="12" t="s">
        <v>222</v>
      </c>
      <c r="K102" s="12" t="s">
        <v>222</v>
      </c>
      <c r="L102" s="12" t="s">
        <v>222</v>
      </c>
      <c r="M102" s="12" t="s">
        <v>222</v>
      </c>
      <c r="N102" s="12" t="s">
        <v>222</v>
      </c>
      <c r="O102" s="12" t="s">
        <v>77</v>
      </c>
      <c r="P102" s="12" t="s">
        <v>222</v>
      </c>
      <c r="Q102" s="12" t="s">
        <v>223</v>
      </c>
      <c r="R102" s="12" t="s">
        <v>222</v>
      </c>
      <c r="S102" s="12" t="s">
        <v>222</v>
      </c>
      <c r="T102" s="12" t="s">
        <v>223</v>
      </c>
      <c r="U102" s="12" t="s">
        <v>222</v>
      </c>
      <c r="V102">
        <v>1</v>
      </c>
      <c r="W102">
        <v>2</v>
      </c>
      <c r="X102">
        <v>1</v>
      </c>
    </row>
    <row r="103" spans="1:24" x14ac:dyDescent="0.25">
      <c r="A103" s="12" t="s">
        <v>149</v>
      </c>
      <c r="B103" s="12" t="s">
        <v>171</v>
      </c>
      <c r="C103" s="12" t="s">
        <v>161</v>
      </c>
      <c r="D103">
        <v>1997</v>
      </c>
      <c r="E103">
        <v>2000</v>
      </c>
      <c r="F103" s="12" t="s">
        <v>158</v>
      </c>
      <c r="G103" s="12" t="s">
        <v>222</v>
      </c>
      <c r="H103" s="12" t="s">
        <v>222</v>
      </c>
      <c r="I103" s="12" t="s">
        <v>222</v>
      </c>
      <c r="J103" s="12" t="s">
        <v>222</v>
      </c>
      <c r="K103" s="12" t="s">
        <v>223</v>
      </c>
      <c r="L103" s="12" t="s">
        <v>222</v>
      </c>
      <c r="M103" s="12" t="s">
        <v>222</v>
      </c>
      <c r="N103" s="12" t="s">
        <v>222</v>
      </c>
      <c r="O103" s="12" t="s">
        <v>77</v>
      </c>
      <c r="P103" s="12" t="s">
        <v>222</v>
      </c>
      <c r="Q103" s="12" t="s">
        <v>223</v>
      </c>
      <c r="R103" s="12" t="s">
        <v>222</v>
      </c>
      <c r="S103" s="12" t="s">
        <v>222</v>
      </c>
      <c r="T103" s="12" t="s">
        <v>223</v>
      </c>
      <c r="U103" s="12" t="s">
        <v>222</v>
      </c>
      <c r="V103">
        <v>1</v>
      </c>
      <c r="W103">
        <v>2</v>
      </c>
      <c r="X103">
        <v>1</v>
      </c>
    </row>
    <row r="104" spans="1:24" x14ac:dyDescent="0.25">
      <c r="A104" s="12" t="s">
        <v>149</v>
      </c>
      <c r="B104" s="12" t="s">
        <v>172</v>
      </c>
      <c r="C104" s="12" t="s">
        <v>173</v>
      </c>
      <c r="D104">
        <v>1985</v>
      </c>
      <c r="E104">
        <v>1988</v>
      </c>
      <c r="F104" s="12" t="s">
        <v>174</v>
      </c>
      <c r="G104" s="12" t="s">
        <v>223</v>
      </c>
      <c r="H104" s="12" t="s">
        <v>222</v>
      </c>
      <c r="I104" s="12" t="s">
        <v>222</v>
      </c>
      <c r="J104" s="12" t="s">
        <v>223</v>
      </c>
      <c r="K104" s="12" t="s">
        <v>223</v>
      </c>
      <c r="L104" s="12" t="s">
        <v>222</v>
      </c>
      <c r="M104" s="12" t="s">
        <v>222</v>
      </c>
      <c r="N104" s="12" t="s">
        <v>222</v>
      </c>
      <c r="O104" s="12" t="s">
        <v>175</v>
      </c>
      <c r="P104" s="12" t="s">
        <v>222</v>
      </c>
      <c r="Q104" s="12" t="s">
        <v>222</v>
      </c>
      <c r="R104" s="12" t="s">
        <v>223</v>
      </c>
      <c r="S104" s="12" t="s">
        <v>222</v>
      </c>
      <c r="T104" s="12" t="s">
        <v>223</v>
      </c>
      <c r="U104" s="12" t="s">
        <v>223</v>
      </c>
      <c r="V104">
        <v>2</v>
      </c>
      <c r="W104">
        <v>5</v>
      </c>
      <c r="X104">
        <v>3</v>
      </c>
    </row>
    <row r="105" spans="1:24" x14ac:dyDescent="0.25">
      <c r="A105" s="12" t="s">
        <v>149</v>
      </c>
      <c r="B105" s="12" t="s">
        <v>176</v>
      </c>
      <c r="C105" s="12" t="s">
        <v>173</v>
      </c>
      <c r="D105">
        <v>1985</v>
      </c>
      <c r="E105">
        <v>1988</v>
      </c>
      <c r="F105" s="12" t="s">
        <v>11</v>
      </c>
      <c r="G105" s="12" t="s">
        <v>222</v>
      </c>
      <c r="H105" s="12" t="s">
        <v>223</v>
      </c>
      <c r="I105" s="12" t="s">
        <v>222</v>
      </c>
      <c r="J105" s="12" t="s">
        <v>222</v>
      </c>
      <c r="K105" s="12" t="s">
        <v>222</v>
      </c>
      <c r="L105" s="12" t="s">
        <v>222</v>
      </c>
      <c r="M105" s="12" t="s">
        <v>222</v>
      </c>
      <c r="N105" s="12" t="s">
        <v>222</v>
      </c>
      <c r="O105" s="12" t="s">
        <v>91</v>
      </c>
      <c r="P105" s="12" t="s">
        <v>222</v>
      </c>
      <c r="Q105" s="12" t="s">
        <v>223</v>
      </c>
      <c r="R105" s="12" t="s">
        <v>222</v>
      </c>
      <c r="S105" s="12" t="s">
        <v>222</v>
      </c>
      <c r="T105" s="12" t="s">
        <v>223</v>
      </c>
      <c r="U105" s="12" t="s">
        <v>223</v>
      </c>
      <c r="V105">
        <v>2</v>
      </c>
      <c r="W105">
        <v>2</v>
      </c>
      <c r="X105">
        <v>0</v>
      </c>
    </row>
    <row r="106" spans="1:24" x14ac:dyDescent="0.25">
      <c r="A106" s="12" t="s">
        <v>149</v>
      </c>
      <c r="B106" s="12" t="s">
        <v>177</v>
      </c>
      <c r="C106" s="12" t="s">
        <v>173</v>
      </c>
      <c r="D106">
        <v>1985</v>
      </c>
      <c r="E106">
        <v>1988</v>
      </c>
      <c r="F106" s="12" t="s">
        <v>11</v>
      </c>
      <c r="G106" s="12" t="s">
        <v>222</v>
      </c>
      <c r="H106" s="12" t="s">
        <v>223</v>
      </c>
      <c r="I106" s="12" t="s">
        <v>222</v>
      </c>
      <c r="J106" s="12" t="s">
        <v>222</v>
      </c>
      <c r="K106" s="12" t="s">
        <v>222</v>
      </c>
      <c r="L106" s="12" t="s">
        <v>222</v>
      </c>
      <c r="M106" s="12" t="s">
        <v>222</v>
      </c>
      <c r="N106" s="12" t="s">
        <v>222</v>
      </c>
      <c r="O106" s="12" t="s">
        <v>40</v>
      </c>
      <c r="P106" s="12" t="s">
        <v>222</v>
      </c>
      <c r="Q106" s="12" t="s">
        <v>222</v>
      </c>
      <c r="R106" s="12" t="s">
        <v>223</v>
      </c>
      <c r="S106" s="12" t="s">
        <v>222</v>
      </c>
      <c r="T106" s="12" t="s">
        <v>222</v>
      </c>
      <c r="U106" s="12" t="s">
        <v>222</v>
      </c>
      <c r="V106">
        <v>1</v>
      </c>
      <c r="W106">
        <v>2</v>
      </c>
      <c r="X106">
        <v>1</v>
      </c>
    </row>
    <row r="107" spans="1:24" x14ac:dyDescent="0.25">
      <c r="A107" s="12" t="s">
        <v>149</v>
      </c>
      <c r="B107" s="12" t="s">
        <v>178</v>
      </c>
      <c r="C107" s="12" t="s">
        <v>173</v>
      </c>
      <c r="D107">
        <v>1985</v>
      </c>
      <c r="E107">
        <v>1988</v>
      </c>
      <c r="F107" s="12" t="s">
        <v>32</v>
      </c>
      <c r="G107" s="12" t="s">
        <v>222</v>
      </c>
      <c r="H107" s="12" t="s">
        <v>222</v>
      </c>
      <c r="I107" s="12" t="s">
        <v>223</v>
      </c>
      <c r="J107" s="12" t="s">
        <v>222</v>
      </c>
      <c r="K107" s="12" t="s">
        <v>222</v>
      </c>
      <c r="L107" s="12" t="s">
        <v>222</v>
      </c>
      <c r="M107" s="12" t="s">
        <v>222</v>
      </c>
      <c r="N107" s="12" t="s">
        <v>222</v>
      </c>
      <c r="O107" s="12" t="s">
        <v>50</v>
      </c>
      <c r="P107" s="12" t="s">
        <v>223</v>
      </c>
      <c r="Q107" s="12" t="s">
        <v>223</v>
      </c>
      <c r="R107" s="12" t="s">
        <v>223</v>
      </c>
      <c r="S107" s="12" t="s">
        <v>222</v>
      </c>
      <c r="T107" s="12" t="s">
        <v>222</v>
      </c>
      <c r="U107" s="12" t="s">
        <v>222</v>
      </c>
      <c r="V107">
        <v>1</v>
      </c>
      <c r="W107">
        <v>5</v>
      </c>
      <c r="X107">
        <v>4</v>
      </c>
    </row>
    <row r="108" spans="1:24" x14ac:dyDescent="0.25">
      <c r="A108" s="12" t="s">
        <v>149</v>
      </c>
      <c r="B108" s="12" t="s">
        <v>179</v>
      </c>
      <c r="C108" s="12" t="s">
        <v>173</v>
      </c>
      <c r="D108">
        <v>1985</v>
      </c>
      <c r="E108">
        <v>1988</v>
      </c>
      <c r="F108" s="12" t="s">
        <v>11</v>
      </c>
      <c r="G108" s="12" t="s">
        <v>222</v>
      </c>
      <c r="H108" s="12" t="s">
        <v>223</v>
      </c>
      <c r="I108" s="12" t="s">
        <v>222</v>
      </c>
      <c r="J108" s="12" t="s">
        <v>222</v>
      </c>
      <c r="K108" s="12" t="s">
        <v>222</v>
      </c>
      <c r="L108" s="12" t="s">
        <v>222</v>
      </c>
      <c r="M108" s="12" t="s">
        <v>222</v>
      </c>
      <c r="N108" s="12" t="s">
        <v>222</v>
      </c>
      <c r="O108" s="12" t="s">
        <v>180</v>
      </c>
      <c r="P108" s="12" t="s">
        <v>222</v>
      </c>
      <c r="Q108" s="12" t="s">
        <v>223</v>
      </c>
      <c r="R108" s="12" t="s">
        <v>222</v>
      </c>
      <c r="S108" s="12" t="s">
        <v>222</v>
      </c>
      <c r="T108" s="12" t="s">
        <v>223</v>
      </c>
      <c r="U108" s="12" t="s">
        <v>223</v>
      </c>
      <c r="V108">
        <v>2</v>
      </c>
      <c r="W108">
        <v>3</v>
      </c>
      <c r="X108">
        <v>1</v>
      </c>
    </row>
    <row r="109" spans="1:24" x14ac:dyDescent="0.25">
      <c r="A109" s="12" t="s">
        <v>149</v>
      </c>
      <c r="B109" s="12" t="s">
        <v>181</v>
      </c>
      <c r="C109" s="12" t="s">
        <v>173</v>
      </c>
      <c r="D109">
        <v>1985</v>
      </c>
      <c r="E109">
        <v>1988</v>
      </c>
      <c r="F109" s="12" t="s">
        <v>32</v>
      </c>
      <c r="G109" s="12" t="s">
        <v>222</v>
      </c>
      <c r="H109" s="12" t="s">
        <v>222</v>
      </c>
      <c r="I109" s="12" t="s">
        <v>223</v>
      </c>
      <c r="J109" s="12" t="s">
        <v>222</v>
      </c>
      <c r="K109" s="12" t="s">
        <v>222</v>
      </c>
      <c r="L109" s="12" t="s">
        <v>222</v>
      </c>
      <c r="M109" s="12" t="s">
        <v>222</v>
      </c>
      <c r="N109" s="12" t="s">
        <v>222</v>
      </c>
      <c r="O109" s="12" t="s">
        <v>35</v>
      </c>
      <c r="P109" s="12" t="s">
        <v>223</v>
      </c>
      <c r="Q109" s="12" t="s">
        <v>222</v>
      </c>
      <c r="R109" s="12" t="s">
        <v>222</v>
      </c>
      <c r="S109" s="12" t="s">
        <v>222</v>
      </c>
      <c r="T109" s="12" t="s">
        <v>222</v>
      </c>
      <c r="U109" s="12" t="s">
        <v>222</v>
      </c>
      <c r="V109">
        <v>2</v>
      </c>
      <c r="W109">
        <v>5</v>
      </c>
      <c r="X109">
        <v>3</v>
      </c>
    </row>
    <row r="110" spans="1:24" x14ac:dyDescent="0.25">
      <c r="A110" s="12" t="s">
        <v>149</v>
      </c>
      <c r="B110" s="12" t="s">
        <v>182</v>
      </c>
      <c r="C110" s="12" t="s">
        <v>173</v>
      </c>
      <c r="D110">
        <v>1985</v>
      </c>
      <c r="E110">
        <v>1988</v>
      </c>
      <c r="F110" s="12" t="s">
        <v>11</v>
      </c>
      <c r="G110" s="12" t="s">
        <v>222</v>
      </c>
      <c r="H110" s="12" t="s">
        <v>223</v>
      </c>
      <c r="I110" s="12" t="s">
        <v>222</v>
      </c>
      <c r="J110" s="12" t="s">
        <v>222</v>
      </c>
      <c r="K110" s="12" t="s">
        <v>222</v>
      </c>
      <c r="L110" s="12" t="s">
        <v>222</v>
      </c>
      <c r="M110" s="12" t="s">
        <v>222</v>
      </c>
      <c r="N110" s="12" t="s">
        <v>222</v>
      </c>
      <c r="O110" s="12" t="s">
        <v>93</v>
      </c>
      <c r="P110" s="12" t="s">
        <v>222</v>
      </c>
      <c r="Q110" s="12" t="s">
        <v>222</v>
      </c>
      <c r="R110" s="12" t="s">
        <v>222</v>
      </c>
      <c r="S110" s="12" t="s">
        <v>222</v>
      </c>
      <c r="T110" s="12" t="s">
        <v>223</v>
      </c>
      <c r="U110" s="12" t="s">
        <v>222</v>
      </c>
      <c r="V110">
        <v>1</v>
      </c>
      <c r="W110">
        <v>5</v>
      </c>
      <c r="X110">
        <v>4</v>
      </c>
    </row>
    <row r="111" spans="1:24" x14ac:dyDescent="0.25">
      <c r="A111" s="12" t="s">
        <v>149</v>
      </c>
      <c r="B111" s="12" t="s">
        <v>183</v>
      </c>
      <c r="C111" s="12" t="s">
        <v>173</v>
      </c>
      <c r="D111">
        <v>1985</v>
      </c>
      <c r="E111">
        <v>1988</v>
      </c>
      <c r="F111" s="12" t="s">
        <v>11</v>
      </c>
      <c r="G111" s="12" t="s">
        <v>222</v>
      </c>
      <c r="H111" s="12" t="s">
        <v>223</v>
      </c>
      <c r="I111" s="12" t="s">
        <v>222</v>
      </c>
      <c r="J111" s="12" t="s">
        <v>222</v>
      </c>
      <c r="K111" s="12" t="s">
        <v>222</v>
      </c>
      <c r="L111" s="12" t="s">
        <v>222</v>
      </c>
      <c r="M111" s="12" t="s">
        <v>222</v>
      </c>
      <c r="N111" s="12" t="s">
        <v>222</v>
      </c>
      <c r="O111" s="12" t="s">
        <v>180</v>
      </c>
      <c r="P111" s="12" t="s">
        <v>222</v>
      </c>
      <c r="Q111" s="12" t="s">
        <v>223</v>
      </c>
      <c r="R111" s="12" t="s">
        <v>222</v>
      </c>
      <c r="S111" s="12" t="s">
        <v>222</v>
      </c>
      <c r="T111" s="12" t="s">
        <v>223</v>
      </c>
      <c r="U111" s="12" t="s">
        <v>223</v>
      </c>
      <c r="V111">
        <v>2</v>
      </c>
      <c r="W111">
        <v>2</v>
      </c>
      <c r="X111">
        <v>0</v>
      </c>
    </row>
    <row r="112" spans="1:24" x14ac:dyDescent="0.25">
      <c r="A112" s="12" t="s">
        <v>184</v>
      </c>
      <c r="B112" s="12" t="s">
        <v>185</v>
      </c>
      <c r="C112" s="12" t="s">
        <v>186</v>
      </c>
      <c r="D112">
        <v>2006</v>
      </c>
      <c r="E112">
        <v>2009</v>
      </c>
      <c r="F112" s="12" t="s">
        <v>158</v>
      </c>
      <c r="G112" s="12" t="s">
        <v>222</v>
      </c>
      <c r="H112" s="12" t="s">
        <v>222</v>
      </c>
      <c r="I112" s="12" t="s">
        <v>222</v>
      </c>
      <c r="J112" s="12" t="s">
        <v>222</v>
      </c>
      <c r="K112" s="12" t="s">
        <v>223</v>
      </c>
      <c r="L112" s="12" t="s">
        <v>222</v>
      </c>
      <c r="M112" s="12" t="s">
        <v>222</v>
      </c>
      <c r="N112" s="12" t="s">
        <v>222</v>
      </c>
      <c r="O112" s="12" t="s">
        <v>93</v>
      </c>
      <c r="P112" s="12" t="s">
        <v>222</v>
      </c>
      <c r="Q112" s="12" t="s">
        <v>222</v>
      </c>
      <c r="R112" s="12" t="s">
        <v>222</v>
      </c>
      <c r="S112" s="12" t="s">
        <v>222</v>
      </c>
      <c r="T112" s="12" t="s">
        <v>223</v>
      </c>
      <c r="U112" s="12" t="s">
        <v>222</v>
      </c>
      <c r="V112">
        <v>1</v>
      </c>
      <c r="W112">
        <v>2.5</v>
      </c>
      <c r="X112">
        <v>1.5</v>
      </c>
    </row>
    <row r="113" spans="1:24" x14ac:dyDescent="0.25">
      <c r="A113" s="12" t="s">
        <v>184</v>
      </c>
      <c r="B113" s="12" t="s">
        <v>187</v>
      </c>
      <c r="C113" s="12" t="s">
        <v>186</v>
      </c>
      <c r="D113">
        <v>2006</v>
      </c>
      <c r="E113">
        <v>2009</v>
      </c>
      <c r="F113" s="12" t="s">
        <v>19</v>
      </c>
      <c r="G113" s="12" t="s">
        <v>223</v>
      </c>
      <c r="H113" s="12" t="s">
        <v>222</v>
      </c>
      <c r="I113" s="12" t="s">
        <v>222</v>
      </c>
      <c r="J113" s="12" t="s">
        <v>222</v>
      </c>
      <c r="K113" s="12" t="s">
        <v>222</v>
      </c>
      <c r="L113" s="12" t="s">
        <v>222</v>
      </c>
      <c r="M113" s="12" t="s">
        <v>222</v>
      </c>
      <c r="N113" s="12" t="s">
        <v>222</v>
      </c>
      <c r="O113" s="12" t="s">
        <v>93</v>
      </c>
      <c r="P113" s="12" t="s">
        <v>222</v>
      </c>
      <c r="Q113" s="12" t="s">
        <v>222</v>
      </c>
      <c r="R113" s="12" t="s">
        <v>222</v>
      </c>
      <c r="S113" s="12" t="s">
        <v>222</v>
      </c>
      <c r="T113" s="12" t="s">
        <v>223</v>
      </c>
      <c r="U113" s="12" t="s">
        <v>222</v>
      </c>
      <c r="V113">
        <v>1</v>
      </c>
      <c r="W113">
        <v>2</v>
      </c>
      <c r="X113">
        <v>1</v>
      </c>
    </row>
    <row r="114" spans="1:24" x14ac:dyDescent="0.25">
      <c r="A114" s="12" t="s">
        <v>184</v>
      </c>
      <c r="B114" s="12" t="s">
        <v>188</v>
      </c>
      <c r="C114" s="12" t="s">
        <v>186</v>
      </c>
      <c r="D114">
        <v>2006</v>
      </c>
      <c r="E114">
        <v>2009</v>
      </c>
      <c r="F114" s="12" t="s">
        <v>11</v>
      </c>
      <c r="G114" s="12" t="s">
        <v>222</v>
      </c>
      <c r="H114" s="12" t="s">
        <v>223</v>
      </c>
      <c r="I114" s="12" t="s">
        <v>222</v>
      </c>
      <c r="J114" s="12" t="s">
        <v>222</v>
      </c>
      <c r="K114" s="12" t="s">
        <v>222</v>
      </c>
      <c r="L114" s="12" t="s">
        <v>222</v>
      </c>
      <c r="M114" s="12" t="s">
        <v>222</v>
      </c>
      <c r="N114" s="12" t="s">
        <v>222</v>
      </c>
      <c r="O114" s="12" t="s">
        <v>93</v>
      </c>
      <c r="P114" s="12" t="s">
        <v>222</v>
      </c>
      <c r="Q114" s="12" t="s">
        <v>222</v>
      </c>
      <c r="R114" s="12" t="s">
        <v>222</v>
      </c>
      <c r="S114" s="12" t="s">
        <v>222</v>
      </c>
      <c r="T114" s="12" t="s">
        <v>223</v>
      </c>
      <c r="U114" s="12" t="s">
        <v>222</v>
      </c>
      <c r="V114">
        <v>1</v>
      </c>
      <c r="W114">
        <v>2.5</v>
      </c>
      <c r="X114">
        <v>1.5</v>
      </c>
    </row>
    <row r="115" spans="1:24" x14ac:dyDescent="0.25">
      <c r="A115" s="12" t="s">
        <v>184</v>
      </c>
      <c r="B115" s="12" t="s">
        <v>189</v>
      </c>
      <c r="C115" s="12" t="s">
        <v>186</v>
      </c>
      <c r="D115">
        <v>2006</v>
      </c>
      <c r="E115">
        <v>2009</v>
      </c>
      <c r="F115" s="12" t="s">
        <v>11</v>
      </c>
      <c r="G115" s="12" t="s">
        <v>222</v>
      </c>
      <c r="H115" s="12" t="s">
        <v>223</v>
      </c>
      <c r="I115" s="12" t="s">
        <v>222</v>
      </c>
      <c r="J115" s="12" t="s">
        <v>222</v>
      </c>
      <c r="K115" s="12" t="s">
        <v>222</v>
      </c>
      <c r="L115" s="12" t="s">
        <v>222</v>
      </c>
      <c r="M115" s="12" t="s">
        <v>222</v>
      </c>
      <c r="N115" s="12" t="s">
        <v>222</v>
      </c>
      <c r="O115" s="12" t="s">
        <v>190</v>
      </c>
      <c r="P115" s="12" t="s">
        <v>223</v>
      </c>
      <c r="Q115" s="12" t="s">
        <v>222</v>
      </c>
      <c r="R115" s="12" t="s">
        <v>223</v>
      </c>
      <c r="S115" s="12" t="s">
        <v>222</v>
      </c>
      <c r="T115" s="12" t="s">
        <v>223</v>
      </c>
      <c r="U115" s="12" t="s">
        <v>223</v>
      </c>
      <c r="V115">
        <v>1.5</v>
      </c>
      <c r="W115">
        <v>3</v>
      </c>
      <c r="X115">
        <v>1.5</v>
      </c>
    </row>
    <row r="116" spans="1:24" x14ac:dyDescent="0.25">
      <c r="A116" s="12" t="s">
        <v>184</v>
      </c>
      <c r="B116" s="12" t="s">
        <v>191</v>
      </c>
      <c r="C116" s="12" t="s">
        <v>186</v>
      </c>
      <c r="D116">
        <v>2006</v>
      </c>
      <c r="E116">
        <v>2009</v>
      </c>
      <c r="F116" s="12" t="s">
        <v>11</v>
      </c>
      <c r="G116" s="12" t="s">
        <v>222</v>
      </c>
      <c r="H116" s="12" t="s">
        <v>223</v>
      </c>
      <c r="I116" s="12" t="s">
        <v>222</v>
      </c>
      <c r="J116" s="12" t="s">
        <v>222</v>
      </c>
      <c r="K116" s="12" t="s">
        <v>222</v>
      </c>
      <c r="L116" s="12" t="s">
        <v>222</v>
      </c>
      <c r="M116" s="12" t="s">
        <v>222</v>
      </c>
      <c r="N116" s="12" t="s">
        <v>222</v>
      </c>
      <c r="O116" s="12" t="s">
        <v>93</v>
      </c>
      <c r="P116" s="12" t="s">
        <v>222</v>
      </c>
      <c r="Q116" s="12" t="s">
        <v>222</v>
      </c>
      <c r="R116" s="12" t="s">
        <v>222</v>
      </c>
      <c r="S116" s="12" t="s">
        <v>222</v>
      </c>
      <c r="T116" s="12" t="s">
        <v>223</v>
      </c>
      <c r="U116" s="12" t="s">
        <v>222</v>
      </c>
      <c r="V116">
        <v>1</v>
      </c>
      <c r="W116">
        <v>2</v>
      </c>
      <c r="X116">
        <v>1</v>
      </c>
    </row>
    <row r="117" spans="1:24" x14ac:dyDescent="0.25">
      <c r="A117" s="12" t="s">
        <v>184</v>
      </c>
      <c r="B117" s="12" t="s">
        <v>192</v>
      </c>
      <c r="C117" s="12" t="s">
        <v>193</v>
      </c>
      <c r="D117">
        <v>2016</v>
      </c>
      <c r="E117">
        <v>2019</v>
      </c>
      <c r="F117" s="12" t="s">
        <v>39</v>
      </c>
      <c r="G117" s="12" t="s">
        <v>222</v>
      </c>
      <c r="H117" s="12" t="s">
        <v>222</v>
      </c>
      <c r="I117" s="12" t="s">
        <v>222</v>
      </c>
      <c r="J117" s="12" t="s">
        <v>222</v>
      </c>
      <c r="K117" s="12" t="s">
        <v>222</v>
      </c>
      <c r="L117" s="12" t="s">
        <v>223</v>
      </c>
      <c r="M117" s="12" t="s">
        <v>222</v>
      </c>
      <c r="N117" s="12" t="s">
        <v>222</v>
      </c>
      <c r="O117" s="12" t="s">
        <v>102</v>
      </c>
      <c r="P117" s="12" t="s">
        <v>222</v>
      </c>
      <c r="Q117" s="12" t="s">
        <v>223</v>
      </c>
      <c r="R117" s="12" t="s">
        <v>222</v>
      </c>
      <c r="S117" s="12" t="s">
        <v>222</v>
      </c>
      <c r="T117" s="12" t="s">
        <v>222</v>
      </c>
      <c r="U117" s="12" t="s">
        <v>223</v>
      </c>
      <c r="V117">
        <v>1</v>
      </c>
      <c r="W117">
        <v>2</v>
      </c>
      <c r="X117">
        <v>1</v>
      </c>
    </row>
    <row r="118" spans="1:24" x14ac:dyDescent="0.25">
      <c r="A118" s="12" t="s">
        <v>184</v>
      </c>
      <c r="B118" s="12" t="s">
        <v>194</v>
      </c>
      <c r="C118" s="12" t="s">
        <v>193</v>
      </c>
      <c r="D118">
        <v>2016</v>
      </c>
      <c r="E118">
        <v>2019</v>
      </c>
      <c r="F118" s="12" t="s">
        <v>158</v>
      </c>
      <c r="G118" s="12" t="s">
        <v>222</v>
      </c>
      <c r="H118" s="12" t="s">
        <v>222</v>
      </c>
      <c r="I118" s="12" t="s">
        <v>222</v>
      </c>
      <c r="J118" s="12" t="s">
        <v>222</v>
      </c>
      <c r="K118" s="12" t="s">
        <v>223</v>
      </c>
      <c r="L118" s="12" t="s">
        <v>222</v>
      </c>
      <c r="M118" s="12" t="s">
        <v>222</v>
      </c>
      <c r="N118" s="12" t="s">
        <v>222</v>
      </c>
      <c r="O118" s="12" t="s">
        <v>77</v>
      </c>
      <c r="P118" s="12" t="s">
        <v>222</v>
      </c>
      <c r="Q118" s="12" t="s">
        <v>223</v>
      </c>
      <c r="R118" s="12" t="s">
        <v>222</v>
      </c>
      <c r="S118" s="12" t="s">
        <v>222</v>
      </c>
      <c r="T118" s="12" t="s">
        <v>223</v>
      </c>
      <c r="U118" s="12" t="s">
        <v>222</v>
      </c>
      <c r="V118">
        <v>2</v>
      </c>
      <c r="W118">
        <v>2</v>
      </c>
      <c r="X118">
        <v>0</v>
      </c>
    </row>
    <row r="119" spans="1:24" x14ac:dyDescent="0.25">
      <c r="A119" s="12" t="s">
        <v>184</v>
      </c>
      <c r="B119" s="12" t="s">
        <v>195</v>
      </c>
      <c r="C119" s="12" t="s">
        <v>193</v>
      </c>
      <c r="D119">
        <v>2016</v>
      </c>
      <c r="E119">
        <v>2019</v>
      </c>
      <c r="F119" s="12" t="s">
        <v>32</v>
      </c>
      <c r="G119" s="12" t="s">
        <v>222</v>
      </c>
      <c r="H119" s="12" t="s">
        <v>222</v>
      </c>
      <c r="I119" s="12" t="s">
        <v>223</v>
      </c>
      <c r="J119" s="12" t="s">
        <v>222</v>
      </c>
      <c r="K119" s="12" t="s">
        <v>222</v>
      </c>
      <c r="L119" s="12" t="s">
        <v>222</v>
      </c>
      <c r="M119" s="12" t="s">
        <v>222</v>
      </c>
      <c r="N119" s="12" t="s">
        <v>222</v>
      </c>
      <c r="O119" s="12" t="s">
        <v>196</v>
      </c>
      <c r="P119" s="12" t="s">
        <v>223</v>
      </c>
      <c r="Q119" s="12" t="s">
        <v>223</v>
      </c>
      <c r="R119" s="12" t="s">
        <v>222</v>
      </c>
      <c r="S119" s="12" t="s">
        <v>222</v>
      </c>
      <c r="T119" s="12" t="s">
        <v>222</v>
      </c>
      <c r="U119" s="12" t="s">
        <v>222</v>
      </c>
      <c r="V119">
        <v>2</v>
      </c>
      <c r="W119">
        <v>5</v>
      </c>
      <c r="X119">
        <v>3</v>
      </c>
    </row>
    <row r="120" spans="1:24" x14ac:dyDescent="0.25">
      <c r="A120" s="12" t="s">
        <v>184</v>
      </c>
      <c r="B120" s="12" t="s">
        <v>197</v>
      </c>
      <c r="C120" s="12" t="s">
        <v>193</v>
      </c>
      <c r="D120">
        <v>2016</v>
      </c>
      <c r="E120">
        <v>2019</v>
      </c>
      <c r="F120" s="12" t="s">
        <v>198</v>
      </c>
      <c r="G120" s="12" t="s">
        <v>222</v>
      </c>
      <c r="H120" s="12" t="s">
        <v>222</v>
      </c>
      <c r="I120" s="12" t="s">
        <v>222</v>
      </c>
      <c r="J120" s="12" t="s">
        <v>222</v>
      </c>
      <c r="K120" s="12" t="s">
        <v>223</v>
      </c>
      <c r="L120" s="12" t="s">
        <v>223</v>
      </c>
      <c r="M120" s="12" t="s">
        <v>222</v>
      </c>
      <c r="N120" s="12" t="s">
        <v>222</v>
      </c>
      <c r="O120" s="12" t="s">
        <v>44</v>
      </c>
      <c r="P120" s="12" t="s">
        <v>222</v>
      </c>
      <c r="Q120" s="12" t="s">
        <v>223</v>
      </c>
      <c r="R120" s="12" t="s">
        <v>222</v>
      </c>
      <c r="S120" s="12" t="s">
        <v>222</v>
      </c>
      <c r="T120" s="12" t="s">
        <v>222</v>
      </c>
      <c r="U120" s="12" t="s">
        <v>222</v>
      </c>
      <c r="V120">
        <v>2</v>
      </c>
      <c r="W120">
        <v>2</v>
      </c>
      <c r="X120">
        <v>0</v>
      </c>
    </row>
    <row r="121" spans="1:24" x14ac:dyDescent="0.25">
      <c r="A121" s="12" t="s">
        <v>184</v>
      </c>
      <c r="B121" s="12" t="s">
        <v>199</v>
      </c>
      <c r="C121" s="12" t="s">
        <v>193</v>
      </c>
      <c r="D121">
        <v>2016</v>
      </c>
      <c r="E121">
        <v>2019</v>
      </c>
      <c r="F121" s="12" t="s">
        <v>32</v>
      </c>
      <c r="G121" s="12" t="s">
        <v>222</v>
      </c>
      <c r="H121" s="12" t="s">
        <v>222</v>
      </c>
      <c r="I121" s="12" t="s">
        <v>223</v>
      </c>
      <c r="J121" s="12" t="s">
        <v>222</v>
      </c>
      <c r="K121" s="12" t="s">
        <v>222</v>
      </c>
      <c r="L121" s="12" t="s">
        <v>222</v>
      </c>
      <c r="M121" s="12" t="s">
        <v>222</v>
      </c>
      <c r="N121" s="12" t="s">
        <v>222</v>
      </c>
      <c r="O121" s="12" t="s">
        <v>200</v>
      </c>
      <c r="P121" s="12" t="s">
        <v>223</v>
      </c>
      <c r="Q121" s="12" t="s">
        <v>222</v>
      </c>
      <c r="R121" s="12" t="s">
        <v>222</v>
      </c>
      <c r="S121" s="12" t="s">
        <v>222</v>
      </c>
      <c r="T121" s="12" t="s">
        <v>223</v>
      </c>
      <c r="U121" s="12" t="s">
        <v>222</v>
      </c>
      <c r="V121">
        <v>2</v>
      </c>
      <c r="W121">
        <v>5</v>
      </c>
      <c r="X121">
        <v>3</v>
      </c>
    </row>
    <row r="122" spans="1:24" x14ac:dyDescent="0.25">
      <c r="A122" s="12" t="s">
        <v>184</v>
      </c>
      <c r="B122" s="12" t="s">
        <v>201</v>
      </c>
      <c r="C122" s="12" t="s">
        <v>193</v>
      </c>
      <c r="D122">
        <v>2016</v>
      </c>
      <c r="E122">
        <v>2019</v>
      </c>
      <c r="F122" s="12" t="s">
        <v>32</v>
      </c>
      <c r="G122" s="12" t="s">
        <v>222</v>
      </c>
      <c r="H122" s="12" t="s">
        <v>222</v>
      </c>
      <c r="I122" s="12" t="s">
        <v>223</v>
      </c>
      <c r="J122" s="12" t="s">
        <v>222</v>
      </c>
      <c r="K122" s="12" t="s">
        <v>222</v>
      </c>
      <c r="L122" s="12" t="s">
        <v>222</v>
      </c>
      <c r="M122" s="12" t="s">
        <v>222</v>
      </c>
      <c r="N122" s="12" t="s">
        <v>222</v>
      </c>
      <c r="O122" s="12" t="s">
        <v>200</v>
      </c>
      <c r="P122" s="12" t="s">
        <v>223</v>
      </c>
      <c r="Q122" s="12" t="s">
        <v>222</v>
      </c>
      <c r="R122" s="12" t="s">
        <v>222</v>
      </c>
      <c r="S122" s="12" t="s">
        <v>222</v>
      </c>
      <c r="T122" s="12" t="s">
        <v>223</v>
      </c>
      <c r="U122" s="12" t="s">
        <v>222</v>
      </c>
      <c r="V122">
        <v>2</v>
      </c>
      <c r="W122">
        <v>5</v>
      </c>
      <c r="X122">
        <v>3</v>
      </c>
    </row>
    <row r="123" spans="1:24" x14ac:dyDescent="0.25">
      <c r="A123" s="12" t="s">
        <v>184</v>
      </c>
      <c r="B123" s="12" t="s">
        <v>202</v>
      </c>
      <c r="C123" s="12" t="s">
        <v>193</v>
      </c>
      <c r="D123">
        <v>2016</v>
      </c>
      <c r="E123">
        <v>2019</v>
      </c>
      <c r="F123" s="12" t="s">
        <v>158</v>
      </c>
      <c r="G123" s="12" t="s">
        <v>222</v>
      </c>
      <c r="H123" s="12" t="s">
        <v>222</v>
      </c>
      <c r="I123" s="12" t="s">
        <v>222</v>
      </c>
      <c r="J123" s="12" t="s">
        <v>222</v>
      </c>
      <c r="K123" s="12" t="s">
        <v>223</v>
      </c>
      <c r="L123" s="12" t="s">
        <v>222</v>
      </c>
      <c r="M123" s="12" t="s">
        <v>222</v>
      </c>
      <c r="N123" s="12" t="s">
        <v>222</v>
      </c>
      <c r="O123" s="12" t="s">
        <v>203</v>
      </c>
      <c r="P123" s="12" t="s">
        <v>222</v>
      </c>
      <c r="Q123" s="12" t="s">
        <v>223</v>
      </c>
      <c r="R123" s="12" t="s">
        <v>222</v>
      </c>
      <c r="S123" s="12" t="s">
        <v>222</v>
      </c>
      <c r="T123" s="12" t="s">
        <v>223</v>
      </c>
      <c r="U123" s="12" t="s">
        <v>222</v>
      </c>
      <c r="V123">
        <v>2</v>
      </c>
      <c r="W123">
        <v>2</v>
      </c>
      <c r="X123">
        <v>0</v>
      </c>
    </row>
    <row r="124" spans="1:24" x14ac:dyDescent="0.25">
      <c r="A124" s="12" t="s">
        <v>184</v>
      </c>
      <c r="B124" s="12" t="s">
        <v>204</v>
      </c>
      <c r="C124" s="12" t="s">
        <v>193</v>
      </c>
      <c r="D124">
        <v>2016</v>
      </c>
      <c r="E124">
        <v>2019</v>
      </c>
      <c r="F124" s="12" t="s">
        <v>205</v>
      </c>
      <c r="G124" s="12" t="s">
        <v>223</v>
      </c>
      <c r="H124" s="12" t="s">
        <v>222</v>
      </c>
      <c r="I124" s="12" t="s">
        <v>222</v>
      </c>
      <c r="J124" s="12" t="s">
        <v>223</v>
      </c>
      <c r="K124" s="12" t="s">
        <v>222</v>
      </c>
      <c r="L124" s="12" t="s">
        <v>222</v>
      </c>
      <c r="M124" s="12" t="s">
        <v>222</v>
      </c>
      <c r="N124" s="12" t="s">
        <v>222</v>
      </c>
      <c r="O124" s="12" t="s">
        <v>58</v>
      </c>
      <c r="P124" s="12" t="s">
        <v>222</v>
      </c>
      <c r="Q124" s="12" t="s">
        <v>223</v>
      </c>
      <c r="R124" s="12" t="s">
        <v>222</v>
      </c>
      <c r="S124" s="12" t="s">
        <v>222</v>
      </c>
      <c r="T124" s="12" t="s">
        <v>223</v>
      </c>
      <c r="U124" s="12" t="s">
        <v>222</v>
      </c>
      <c r="V124">
        <v>2</v>
      </c>
      <c r="W124">
        <v>3</v>
      </c>
      <c r="X124">
        <v>1</v>
      </c>
    </row>
    <row r="125" spans="1:24" x14ac:dyDescent="0.25">
      <c r="A125" s="12" t="s">
        <v>184</v>
      </c>
      <c r="B125" s="12" t="s">
        <v>206</v>
      </c>
      <c r="C125" s="12" t="s">
        <v>193</v>
      </c>
      <c r="D125">
        <v>2016</v>
      </c>
      <c r="E125">
        <v>2019</v>
      </c>
      <c r="F125" s="12" t="s">
        <v>39</v>
      </c>
      <c r="G125" s="12" t="s">
        <v>222</v>
      </c>
      <c r="H125" s="12" t="s">
        <v>222</v>
      </c>
      <c r="I125" s="12" t="s">
        <v>222</v>
      </c>
      <c r="J125" s="12" t="s">
        <v>222</v>
      </c>
      <c r="K125" s="12" t="s">
        <v>222</v>
      </c>
      <c r="L125" s="12" t="s">
        <v>223</v>
      </c>
      <c r="M125" s="12" t="s">
        <v>222</v>
      </c>
      <c r="N125" s="12" t="s">
        <v>222</v>
      </c>
      <c r="O125" s="12" t="s">
        <v>203</v>
      </c>
      <c r="P125" s="12" t="s">
        <v>222</v>
      </c>
      <c r="Q125" s="12" t="s">
        <v>223</v>
      </c>
      <c r="R125" s="12" t="s">
        <v>222</v>
      </c>
      <c r="S125" s="12" t="s">
        <v>222</v>
      </c>
      <c r="T125" s="12" t="s">
        <v>223</v>
      </c>
      <c r="U125" s="12" t="s">
        <v>222</v>
      </c>
      <c r="V125">
        <v>2</v>
      </c>
      <c r="W125">
        <v>2</v>
      </c>
      <c r="X125">
        <v>0</v>
      </c>
    </row>
    <row r="126" spans="1:24" x14ac:dyDescent="0.25">
      <c r="A126" s="12" t="s">
        <v>184</v>
      </c>
      <c r="B126" s="12" t="s">
        <v>207</v>
      </c>
      <c r="C126" s="12" t="s">
        <v>193</v>
      </c>
      <c r="D126">
        <v>2016</v>
      </c>
      <c r="E126">
        <v>2019</v>
      </c>
      <c r="F126" s="12" t="s">
        <v>39</v>
      </c>
      <c r="G126" s="12" t="s">
        <v>222</v>
      </c>
      <c r="H126" s="12" t="s">
        <v>222</v>
      </c>
      <c r="I126" s="12" t="s">
        <v>222</v>
      </c>
      <c r="J126" s="12" t="s">
        <v>222</v>
      </c>
      <c r="K126" s="12" t="s">
        <v>222</v>
      </c>
      <c r="L126" s="12" t="s">
        <v>223</v>
      </c>
      <c r="M126" s="12" t="s">
        <v>222</v>
      </c>
      <c r="N126" s="12" t="s">
        <v>222</v>
      </c>
      <c r="O126" s="12" t="s">
        <v>40</v>
      </c>
      <c r="P126" s="12" t="s">
        <v>222</v>
      </c>
      <c r="Q126" s="12" t="s">
        <v>222</v>
      </c>
      <c r="R126" s="12" t="s">
        <v>223</v>
      </c>
      <c r="S126" s="12" t="s">
        <v>222</v>
      </c>
      <c r="T126" s="12" t="s">
        <v>222</v>
      </c>
      <c r="U126" s="12" t="s">
        <v>222</v>
      </c>
      <c r="V126">
        <v>1</v>
      </c>
      <c r="W126">
        <v>2</v>
      </c>
      <c r="X126">
        <v>1</v>
      </c>
    </row>
    <row r="127" spans="1:24" x14ac:dyDescent="0.25">
      <c r="A127" s="12" t="s">
        <v>184</v>
      </c>
      <c r="B127" s="12" t="s">
        <v>208</v>
      </c>
      <c r="C127" s="12" t="s">
        <v>193</v>
      </c>
      <c r="D127">
        <v>2016</v>
      </c>
      <c r="E127">
        <v>2019</v>
      </c>
      <c r="F127" s="12" t="s">
        <v>39</v>
      </c>
      <c r="G127" s="12" t="s">
        <v>222</v>
      </c>
      <c r="H127" s="12" t="s">
        <v>222</v>
      </c>
      <c r="I127" s="12" t="s">
        <v>222</v>
      </c>
      <c r="J127" s="12" t="s">
        <v>222</v>
      </c>
      <c r="K127" s="12" t="s">
        <v>222</v>
      </c>
      <c r="L127" s="12" t="s">
        <v>223</v>
      </c>
      <c r="M127" s="12" t="s">
        <v>222</v>
      </c>
      <c r="N127" s="12" t="s">
        <v>222</v>
      </c>
      <c r="O127" s="12" t="s">
        <v>17</v>
      </c>
      <c r="P127" s="12" t="s">
        <v>222</v>
      </c>
      <c r="Q127" s="12" t="s">
        <v>223</v>
      </c>
      <c r="R127" s="12" t="s">
        <v>223</v>
      </c>
      <c r="S127" s="12" t="s">
        <v>222</v>
      </c>
      <c r="T127" s="12" t="s">
        <v>222</v>
      </c>
      <c r="U127" s="12" t="s">
        <v>222</v>
      </c>
      <c r="V127">
        <v>1</v>
      </c>
      <c r="W127">
        <v>2</v>
      </c>
      <c r="X127">
        <v>1</v>
      </c>
    </row>
    <row r="128" spans="1:24" x14ac:dyDescent="0.25">
      <c r="A128" s="12" t="s">
        <v>184</v>
      </c>
      <c r="B128" s="12" t="s">
        <v>209</v>
      </c>
      <c r="C128" s="12" t="s">
        <v>193</v>
      </c>
      <c r="D128">
        <v>2016</v>
      </c>
      <c r="E128">
        <v>2019</v>
      </c>
      <c r="F128" s="12" t="s">
        <v>39</v>
      </c>
      <c r="G128" s="12" t="s">
        <v>222</v>
      </c>
      <c r="H128" s="12" t="s">
        <v>222</v>
      </c>
      <c r="I128" s="12" t="s">
        <v>222</v>
      </c>
      <c r="J128" s="12" t="s">
        <v>222</v>
      </c>
      <c r="K128" s="12" t="s">
        <v>222</v>
      </c>
      <c r="L128" s="12" t="s">
        <v>223</v>
      </c>
      <c r="M128" s="12" t="s">
        <v>222</v>
      </c>
      <c r="N128" s="12" t="s">
        <v>222</v>
      </c>
      <c r="O128" s="12" t="s">
        <v>44</v>
      </c>
      <c r="P128" s="12" t="s">
        <v>222</v>
      </c>
      <c r="Q128" s="12" t="s">
        <v>223</v>
      </c>
      <c r="R128" s="12" t="s">
        <v>222</v>
      </c>
      <c r="S128" s="12" t="s">
        <v>222</v>
      </c>
      <c r="T128" s="12" t="s">
        <v>222</v>
      </c>
      <c r="U128" s="12" t="s">
        <v>222</v>
      </c>
      <c r="V128">
        <v>5</v>
      </c>
      <c r="W128">
        <v>5</v>
      </c>
      <c r="X128">
        <v>0</v>
      </c>
    </row>
    <row r="129" spans="1:24" x14ac:dyDescent="0.25">
      <c r="A129" s="12" t="s">
        <v>184</v>
      </c>
      <c r="B129" s="12" t="s">
        <v>210</v>
      </c>
      <c r="C129" s="12" t="s">
        <v>193</v>
      </c>
      <c r="D129">
        <v>2016</v>
      </c>
      <c r="E129">
        <v>2019</v>
      </c>
      <c r="F129" s="12" t="s">
        <v>32</v>
      </c>
      <c r="G129" s="12" t="s">
        <v>222</v>
      </c>
      <c r="H129" s="12" t="s">
        <v>222</v>
      </c>
      <c r="I129" s="12" t="s">
        <v>223</v>
      </c>
      <c r="J129" s="12" t="s">
        <v>222</v>
      </c>
      <c r="K129" s="12" t="s">
        <v>222</v>
      </c>
      <c r="L129" s="12" t="s">
        <v>222</v>
      </c>
      <c r="M129" s="12" t="s">
        <v>222</v>
      </c>
      <c r="N129" s="12" t="s">
        <v>222</v>
      </c>
      <c r="O129" s="12" t="s">
        <v>35</v>
      </c>
      <c r="P129" s="12" t="s">
        <v>223</v>
      </c>
      <c r="Q129" s="12" t="s">
        <v>222</v>
      </c>
      <c r="R129" s="12" t="s">
        <v>222</v>
      </c>
      <c r="S129" s="12" t="s">
        <v>222</v>
      </c>
      <c r="T129" s="12" t="s">
        <v>222</v>
      </c>
      <c r="U129" s="12" t="s">
        <v>222</v>
      </c>
      <c r="V129">
        <v>1</v>
      </c>
      <c r="W129">
        <v>5</v>
      </c>
      <c r="X129">
        <v>4</v>
      </c>
    </row>
    <row r="130" spans="1:24" x14ac:dyDescent="0.25">
      <c r="A130" s="12" t="s">
        <v>184</v>
      </c>
      <c r="B130" s="12" t="s">
        <v>211</v>
      </c>
      <c r="C130" s="12" t="s">
        <v>193</v>
      </c>
      <c r="D130">
        <v>2016</v>
      </c>
      <c r="E130">
        <v>2019</v>
      </c>
      <c r="F130" s="12" t="s">
        <v>158</v>
      </c>
      <c r="G130" s="12" t="s">
        <v>222</v>
      </c>
      <c r="H130" s="12" t="s">
        <v>222</v>
      </c>
      <c r="I130" s="12" t="s">
        <v>222</v>
      </c>
      <c r="J130" s="12" t="s">
        <v>222</v>
      </c>
      <c r="K130" s="12" t="s">
        <v>223</v>
      </c>
      <c r="L130" s="12" t="s">
        <v>222</v>
      </c>
      <c r="M130" s="12" t="s">
        <v>222</v>
      </c>
      <c r="N130" s="12" t="s">
        <v>222</v>
      </c>
      <c r="O130" s="12" t="s">
        <v>212</v>
      </c>
      <c r="P130" s="12" t="s">
        <v>222</v>
      </c>
      <c r="Q130" s="12" t="s">
        <v>223</v>
      </c>
      <c r="R130" s="12" t="s">
        <v>222</v>
      </c>
      <c r="S130" s="12" t="s">
        <v>222</v>
      </c>
      <c r="T130" s="12" t="s">
        <v>223</v>
      </c>
      <c r="U130" s="12" t="s">
        <v>223</v>
      </c>
      <c r="V130">
        <v>2</v>
      </c>
      <c r="W130">
        <v>5</v>
      </c>
      <c r="X130">
        <v>3</v>
      </c>
    </row>
    <row r="131" spans="1:24" x14ac:dyDescent="0.25">
      <c r="A131" s="12" t="s">
        <v>184</v>
      </c>
      <c r="B131" s="12" t="s">
        <v>213</v>
      </c>
      <c r="C131" s="12" t="s">
        <v>193</v>
      </c>
      <c r="D131">
        <v>2016</v>
      </c>
      <c r="E131">
        <v>2019</v>
      </c>
      <c r="F131" s="12" t="s">
        <v>39</v>
      </c>
      <c r="G131" s="12" t="s">
        <v>222</v>
      </c>
      <c r="H131" s="12" t="s">
        <v>222</v>
      </c>
      <c r="I131" s="12" t="s">
        <v>222</v>
      </c>
      <c r="J131" s="12" t="s">
        <v>222</v>
      </c>
      <c r="K131" s="12" t="s">
        <v>222</v>
      </c>
      <c r="L131" s="12" t="s">
        <v>223</v>
      </c>
      <c r="M131" s="12" t="s">
        <v>222</v>
      </c>
      <c r="N131" s="12" t="s">
        <v>222</v>
      </c>
      <c r="O131" s="12" t="s">
        <v>214</v>
      </c>
      <c r="P131" s="12" t="s">
        <v>222</v>
      </c>
      <c r="Q131" s="12" t="s">
        <v>223</v>
      </c>
      <c r="R131" s="12" t="s">
        <v>222</v>
      </c>
      <c r="S131" s="12" t="s">
        <v>222</v>
      </c>
      <c r="T131" s="12" t="s">
        <v>222</v>
      </c>
      <c r="U131" s="12" t="s">
        <v>223</v>
      </c>
      <c r="V131">
        <v>2</v>
      </c>
      <c r="W131">
        <v>2</v>
      </c>
      <c r="X131">
        <v>0</v>
      </c>
    </row>
    <row r="132" spans="1:24" x14ac:dyDescent="0.25">
      <c r="A132" s="12" t="s">
        <v>184</v>
      </c>
      <c r="B132" s="12" t="s">
        <v>215</v>
      </c>
      <c r="C132" s="12" t="s">
        <v>193</v>
      </c>
      <c r="D132">
        <v>2016</v>
      </c>
      <c r="E132">
        <v>2019</v>
      </c>
      <c r="F132" s="12" t="s">
        <v>39</v>
      </c>
      <c r="G132" s="12" t="s">
        <v>222</v>
      </c>
      <c r="H132" s="12" t="s">
        <v>222</v>
      </c>
      <c r="I132" s="12" t="s">
        <v>222</v>
      </c>
      <c r="J132" s="12" t="s">
        <v>222</v>
      </c>
      <c r="K132" s="12" t="s">
        <v>222</v>
      </c>
      <c r="L132" s="12" t="s">
        <v>223</v>
      </c>
      <c r="M132" s="12" t="s">
        <v>222</v>
      </c>
      <c r="N132" s="12" t="s">
        <v>222</v>
      </c>
      <c r="O132" s="12" t="s">
        <v>216</v>
      </c>
      <c r="P132" s="12" t="s">
        <v>222</v>
      </c>
      <c r="Q132" s="12" t="s">
        <v>223</v>
      </c>
      <c r="R132" s="12" t="s">
        <v>223</v>
      </c>
      <c r="S132" s="12" t="s">
        <v>222</v>
      </c>
      <c r="T132" s="12" t="s">
        <v>222</v>
      </c>
      <c r="U132" s="12" t="s">
        <v>222</v>
      </c>
      <c r="V132">
        <v>2</v>
      </c>
      <c r="W132">
        <v>2</v>
      </c>
      <c r="X132">
        <v>0</v>
      </c>
    </row>
    <row r="133" spans="1:24" x14ac:dyDescent="0.25">
      <c r="A133" s="12" t="s">
        <v>184</v>
      </c>
      <c r="B133" s="12" t="s">
        <v>217</v>
      </c>
      <c r="C133" s="12" t="s">
        <v>193</v>
      </c>
      <c r="D133">
        <v>2016</v>
      </c>
      <c r="E133">
        <v>2019</v>
      </c>
      <c r="F133" s="12" t="s">
        <v>32</v>
      </c>
      <c r="G133" s="12" t="s">
        <v>222</v>
      </c>
      <c r="H133" s="12" t="s">
        <v>222</v>
      </c>
      <c r="I133" s="12" t="s">
        <v>223</v>
      </c>
      <c r="J133" s="12" t="s">
        <v>222</v>
      </c>
      <c r="K133" s="12" t="s">
        <v>222</v>
      </c>
      <c r="L133" s="12" t="s">
        <v>222</v>
      </c>
      <c r="M133" s="12" t="s">
        <v>222</v>
      </c>
      <c r="N133" s="12" t="s">
        <v>222</v>
      </c>
      <c r="O133" s="12" t="s">
        <v>196</v>
      </c>
      <c r="P133" s="12" t="s">
        <v>223</v>
      </c>
      <c r="Q133" s="12" t="s">
        <v>223</v>
      </c>
      <c r="R133" s="12" t="s">
        <v>222</v>
      </c>
      <c r="S133" s="12" t="s">
        <v>222</v>
      </c>
      <c r="T133" s="12" t="s">
        <v>222</v>
      </c>
      <c r="U133" s="12" t="s">
        <v>222</v>
      </c>
      <c r="V133">
        <v>1</v>
      </c>
      <c r="W133">
        <v>5</v>
      </c>
      <c r="X133">
        <v>4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2898CDA-61B7-4B19-B22D-EF5EED998C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Hoàn Mỹ Hà</cp:lastModifiedBy>
  <dcterms:modified xsi:type="dcterms:W3CDTF">2026-03-26T23:00:28Z</dcterms:modified>
</cp:coreProperties>
</file>